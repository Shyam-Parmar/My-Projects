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xml"/>
  <Override PartName="/xl/tables/table1.xml" ContentType="application/vnd.openxmlformats-officedocument.spreadsheetml.table+xml"/>
  <Override PartName="/xl/drawings/drawing9.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10.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1.xml" ContentType="application/vnd.openxmlformats-officedocument.drawing+xml"/>
  <Override PartName="/xl/timelines/timeline1.xml" ContentType="application/vnd.ms-excel.timeline+xml"/>
  <Override PartName="/xl/drawings/drawing12.xml" ContentType="application/vnd.openxmlformats-officedocument.drawing+xml"/>
  <Override PartName="/xl/tables/table2.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Shyam\Downloads\"/>
    </mc:Choice>
  </mc:AlternateContent>
  <bookViews>
    <workbookView xWindow="0" yWindow="0" windowWidth="19200" windowHeight="7900" tabRatio="798" firstSheet="8" activeTab="14"/>
  </bookViews>
  <sheets>
    <sheet name="Project Info &amp; Documentation" sheetId="28" r:id="rId1"/>
    <sheet name="Store Investment" sheetId="1" r:id="rId2"/>
    <sheet name="Investment Data Table" sheetId="10" r:id="rId3"/>
    <sheet name="Investment Scenario" sheetId="8" r:id="rId4"/>
    <sheet name="Scenario Summary" sheetId="30" r:id="rId5"/>
    <sheet name="Product Cleanup" sheetId="7" r:id="rId6"/>
    <sheet name="Inventory Data" sheetId="2" r:id="rId7"/>
    <sheet name="Inventory Analysis" sheetId="18" r:id="rId8"/>
    <sheet name="Location Sales" sheetId="16" r:id="rId9"/>
    <sheet name="Payroll Budget" sheetId="20" r:id="rId10"/>
    <sheet name="Rewards Member Orders" sheetId="33" r:id="rId11"/>
    <sheet name="WIP" sheetId="24" r:id="rId12"/>
    <sheet name="Rewards Member Records" sheetId="22" r:id="rId13"/>
    <sheet name="Event Orders" sheetId="32" r:id="rId14"/>
    <sheet name="Customer Reviews" sheetId="34" r:id="rId15"/>
  </sheets>
  <definedNames>
    <definedName name="_xlnm._FilterDatabase" localSheetId="13" hidden="1">'Event Orders'!$B$4:$F$4</definedName>
    <definedName name="_xlnm._FilterDatabase" localSheetId="8" hidden="1">'Location Sales'!$B$4:$E$40</definedName>
    <definedName name="_xlnm._FilterDatabase" localSheetId="9" hidden="1">'Payroll Budget'!$B$7:$H$7</definedName>
    <definedName name="NativeTimeline_Ordered_Date1">#N/A</definedName>
    <definedName name="NumUnitsSold">'Inventory Data'!$K$5:$K$403</definedName>
    <definedName name="PricePerProduct">'Inventory Data'!$H$5:$H$403</definedName>
    <definedName name="ProductListPrice">WIP!$B$8:$D$17</definedName>
    <definedName name="ProductNames">'Inventory Data'!$D$5:$D$403</definedName>
    <definedName name="ProductPrice">'Inventory Data'!$F$5:$H$403</definedName>
    <definedName name="ProductRevenue">'Inventory Data'!$F$5:$L$403</definedName>
    <definedName name="ProductType">'Inventory Data'!$F$5:$F$403</definedName>
    <definedName name="ProductUnitsSold">'Inventory Data'!$F$5:$K$403</definedName>
    <definedName name="RevenuePerUnit">'Inventory Data'!$L$5:$L$403</definedName>
    <definedName name="Slicer_Month">#N/A</definedName>
    <definedName name="Slicer_Store_Location">#N/A</definedName>
    <definedName name="solver_adj" localSheetId="9" hidden="1">'Payroll Budget'!$D$8:$D$22</definedName>
    <definedName name="solver_cvg" localSheetId="9" hidden="1">0.0001</definedName>
    <definedName name="solver_drv" localSheetId="9" hidden="1">2</definedName>
    <definedName name="solver_eng" localSheetId="9" hidden="1">1</definedName>
    <definedName name="solver_est" localSheetId="9" hidden="1">1</definedName>
    <definedName name="solver_itr" localSheetId="9" hidden="1">2147483647</definedName>
    <definedName name="solver_lhs1" localSheetId="9" hidden="1">'Payroll Budget'!$D$17:$D$19</definedName>
    <definedName name="solver_lhs2" localSheetId="9" hidden="1">'Payroll Budget'!$D$17:$D$19</definedName>
    <definedName name="solver_lhs3" localSheetId="9" hidden="1">'Payroll Budget'!$D$20:$D$22</definedName>
    <definedName name="solver_lhs4" localSheetId="9" hidden="1">'Payroll Budget'!$D$20:$D$22</definedName>
    <definedName name="solver_lhs5" localSheetId="9" hidden="1">'Payroll Budget'!$D$8:$D$16</definedName>
    <definedName name="solver_lhs6" localSheetId="9" hidden="1">'Payroll Budget'!$D$8:$D$16</definedName>
    <definedName name="solver_lhs7" localSheetId="9" hidden="1">'Payroll Budget'!$D$8:$D$22</definedName>
    <definedName name="solver_lhs8" localSheetId="9" hidden="1">'Payroll Budget'!$F$23</definedName>
    <definedName name="solver_lhs9" localSheetId="9" hidden="1">'Payroll Budget'!$H$8:$H$22</definedName>
    <definedName name="solver_mip" localSheetId="9" hidden="1">2147483647</definedName>
    <definedName name="solver_mni" localSheetId="9" hidden="1">30</definedName>
    <definedName name="solver_mrt" localSheetId="9" hidden="1">0.075</definedName>
    <definedName name="solver_msl" localSheetId="9" hidden="1">2</definedName>
    <definedName name="solver_neg" localSheetId="9" hidden="1">1</definedName>
    <definedName name="solver_nod" localSheetId="9" hidden="1">2147483647</definedName>
    <definedName name="solver_num" localSheetId="9" hidden="1">9</definedName>
    <definedName name="solver_nwt" localSheetId="9" hidden="1">1</definedName>
    <definedName name="solver_opt" localSheetId="9" hidden="1">'Payroll Budget'!$F$23</definedName>
    <definedName name="solver_pre" localSheetId="9" hidden="1">0.000001</definedName>
    <definedName name="solver_rbv" localSheetId="9" hidden="1">2</definedName>
    <definedName name="solver_rel1" localSheetId="9" hidden="1">1</definedName>
    <definedName name="solver_rel2" localSheetId="9" hidden="1">3</definedName>
    <definedName name="solver_rel3" localSheetId="9" hidden="1">1</definedName>
    <definedName name="solver_rel4" localSheetId="9" hidden="1">3</definedName>
    <definedName name="solver_rel5" localSheetId="9" hidden="1">1</definedName>
    <definedName name="solver_rel6" localSheetId="9" hidden="1">3</definedName>
    <definedName name="solver_rel7" localSheetId="9" hidden="1">4</definedName>
    <definedName name="solver_rel8" localSheetId="9" hidden="1">1</definedName>
    <definedName name="solver_rel9" localSheetId="9" hidden="1">1</definedName>
    <definedName name="solver_rhs1" localSheetId="9" hidden="1">40</definedName>
    <definedName name="solver_rhs2" localSheetId="9" hidden="1">30</definedName>
    <definedName name="solver_rhs3" localSheetId="9" hidden="1">20</definedName>
    <definedName name="solver_rhs4" localSheetId="9" hidden="1">10</definedName>
    <definedName name="solver_rhs5" localSheetId="9" hidden="1">20</definedName>
    <definedName name="solver_rhs6" localSheetId="9" hidden="1">6</definedName>
    <definedName name="solver_rhs7" localSheetId="9" hidden="1">integer</definedName>
    <definedName name="solver_rhs8" localSheetId="9" hidden="1">5000</definedName>
    <definedName name="solver_rhs9" localSheetId="9" hidden="1">7</definedName>
    <definedName name="solver_rlx" localSheetId="9" hidden="1">2</definedName>
    <definedName name="solver_rsd" localSheetId="9" hidden="1">0</definedName>
    <definedName name="solver_scl" localSheetId="9" hidden="1">2</definedName>
    <definedName name="solver_sho" localSheetId="9" hidden="1">2</definedName>
    <definedName name="solver_ssz" localSheetId="9" hidden="1">100</definedName>
    <definedName name="solver_tim" localSheetId="9" hidden="1">2147483647</definedName>
    <definedName name="solver_tol" localSheetId="9" hidden="1">0.01</definedName>
    <definedName name="solver_typ" localSheetId="9" hidden="1">2</definedName>
    <definedName name="solver_val" localSheetId="9" hidden="1">0</definedName>
    <definedName name="solver_ver" localSheetId="9" hidden="1">3</definedName>
    <definedName name="WIPproducts">WIP!$C$8:$C$17</definedName>
  </definedNames>
  <calcPr calcId="152511"/>
  <pivotCaches>
    <pivotCache cacheId="0" r:id="rId16"/>
    <pivotCache cacheId="1" r:id="rId17"/>
    <pivotCache cacheId="2" r:id="rId18"/>
  </pivotCaches>
  <extLs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1"/>
      </x15:timelineCacheRef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4" i="34" l="1"/>
  <c r="J4" i="34" l="1"/>
  <c r="O5" i="34"/>
  <c r="O6" i="34" s="1"/>
  <c r="O7" i="34" s="1"/>
  <c r="O8" i="34" s="1"/>
  <c r="D13" i="33"/>
  <c r="D19" i="33"/>
  <c r="Q4" i="34" l="1"/>
  <c r="Q6" i="34" s="1"/>
  <c r="H4" i="34"/>
  <c r="H8" i="24"/>
  <c r="H13" i="24"/>
  <c r="C9" i="33"/>
  <c r="H7" i="24"/>
  <c r="L6" i="24" s="1"/>
  <c r="H6" i="24"/>
  <c r="H5" i="24"/>
  <c r="F23" i="20" l="1"/>
  <c r="E5" i="7" l="1"/>
  <c r="N6" i="2" l="1"/>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5" i="2"/>
  <c r="F8" i="7" l="1"/>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6" i="7"/>
  <c r="R6" i="24" l="1"/>
  <c r="H12" i="24"/>
  <c r="D18" i="33" s="1"/>
  <c r="H11" i="24"/>
  <c r="M6" i="24" s="1"/>
  <c r="Q6" i="24" l="1"/>
  <c r="H10" i="24"/>
  <c r="H9" i="24"/>
  <c r="N6" i="24" s="1"/>
  <c r="K6" i="24"/>
  <c r="J6" i="24"/>
  <c r="H15" i="24" l="1"/>
  <c r="P6" i="24"/>
  <c r="T6" i="24" l="1"/>
  <c r="D21" i="33"/>
  <c r="H16" i="24"/>
  <c r="H14" i="24" s="1"/>
  <c r="O6" i="24"/>
  <c r="S6" i="24" l="1"/>
  <c r="D20" i="33"/>
  <c r="H17" i="24"/>
  <c r="D22" i="33" s="1"/>
  <c r="C5" i="20"/>
  <c r="E23" i="20"/>
  <c r="D23" i="20"/>
  <c r="H20" i="20"/>
  <c r="H8" i="20"/>
  <c r="H11" i="20"/>
  <c r="H14" i="20"/>
  <c r="H19" i="20"/>
  <c r="H22" i="20"/>
  <c r="H10" i="20"/>
  <c r="H13" i="20"/>
  <c r="H16" i="20"/>
  <c r="H18" i="20"/>
  <c r="H21" i="20"/>
  <c r="H9" i="20"/>
  <c r="H12" i="20"/>
  <c r="H15" i="20"/>
  <c r="H17" i="20"/>
  <c r="F20" i="20"/>
  <c r="F8" i="20"/>
  <c r="F11" i="20"/>
  <c r="F14" i="20"/>
  <c r="F19" i="20"/>
  <c r="F22" i="20"/>
  <c r="F10" i="20"/>
  <c r="F13" i="20"/>
  <c r="F16" i="20"/>
  <c r="F18" i="20"/>
  <c r="F21" i="20"/>
  <c r="F9" i="20"/>
  <c r="F12" i="20"/>
  <c r="F15" i="20"/>
  <c r="F17" i="20"/>
  <c r="U6" i="24" l="1"/>
  <c r="G21" i="20" l="1"/>
  <c r="G12" i="20"/>
  <c r="G22" i="20"/>
  <c r="G19" i="20"/>
  <c r="G18" i="20"/>
  <c r="G16" i="20"/>
  <c r="G14" i="20"/>
  <c r="G15" i="20"/>
  <c r="G8" i="20"/>
  <c r="G13" i="20"/>
  <c r="G11" i="20"/>
  <c r="G10" i="20"/>
  <c r="G9" i="20"/>
  <c r="G20" i="20"/>
  <c r="G17" i="20"/>
  <c r="G23" i="20" l="1"/>
  <c r="D32" i="18" l="1"/>
  <c r="D31" i="18"/>
  <c r="D30" i="18"/>
  <c r="D29" i="18"/>
  <c r="D28" i="18"/>
  <c r="D27" i="18"/>
  <c r="D26" i="18"/>
  <c r="D25" i="18"/>
  <c r="D24" i="18"/>
  <c r="D23" i="18"/>
  <c r="D16" i="18"/>
  <c r="D15" i="18"/>
  <c r="D14" i="18"/>
  <c r="D13" i="18"/>
  <c r="D12" i="18"/>
  <c r="D11" i="18"/>
  <c r="D10" i="18"/>
  <c r="D9" i="18"/>
  <c r="D8" i="18"/>
  <c r="D7" i="18"/>
  <c r="J403" i="2"/>
  <c r="L403" i="2" s="1"/>
  <c r="I403" i="2"/>
  <c r="J402" i="2"/>
  <c r="L402" i="2" s="1"/>
  <c r="I402" i="2"/>
  <c r="J401" i="2"/>
  <c r="L401" i="2" s="1"/>
  <c r="I401" i="2"/>
  <c r="L400" i="2"/>
  <c r="J400" i="2"/>
  <c r="I400" i="2"/>
  <c r="J399" i="2"/>
  <c r="L399" i="2" s="1"/>
  <c r="I399" i="2"/>
  <c r="L398" i="2"/>
  <c r="J398" i="2"/>
  <c r="I398" i="2"/>
  <c r="J397" i="2"/>
  <c r="L397" i="2" s="1"/>
  <c r="I397" i="2"/>
  <c r="L396" i="2"/>
  <c r="J396" i="2"/>
  <c r="I396" i="2"/>
  <c r="L395" i="2"/>
  <c r="J395" i="2"/>
  <c r="I395" i="2"/>
  <c r="J394" i="2"/>
  <c r="L394" i="2" s="1"/>
  <c r="I394" i="2"/>
  <c r="J393" i="2"/>
  <c r="L393" i="2" s="1"/>
  <c r="I393" i="2"/>
  <c r="L392" i="2"/>
  <c r="J392" i="2"/>
  <c r="I392" i="2"/>
  <c r="J391" i="2"/>
  <c r="L391" i="2" s="1"/>
  <c r="I391" i="2"/>
  <c r="J390" i="2"/>
  <c r="L390" i="2" s="1"/>
  <c r="I390" i="2"/>
  <c r="J389" i="2"/>
  <c r="L389" i="2" s="1"/>
  <c r="I389" i="2"/>
  <c r="L388" i="2"/>
  <c r="J388" i="2"/>
  <c r="I388" i="2"/>
  <c r="J387" i="2"/>
  <c r="L387" i="2" s="1"/>
  <c r="I387" i="2"/>
  <c r="J386" i="2"/>
  <c r="L386" i="2" s="1"/>
  <c r="I386" i="2"/>
  <c r="J385" i="2"/>
  <c r="L385" i="2" s="1"/>
  <c r="I385" i="2"/>
  <c r="L384" i="2"/>
  <c r="J384" i="2"/>
  <c r="I384" i="2"/>
  <c r="J383" i="2"/>
  <c r="L383" i="2" s="1"/>
  <c r="I383" i="2"/>
  <c r="L382" i="2"/>
  <c r="J382" i="2"/>
  <c r="I382" i="2"/>
  <c r="J381" i="2"/>
  <c r="L381" i="2" s="1"/>
  <c r="I381" i="2"/>
  <c r="L380" i="2"/>
  <c r="J380" i="2"/>
  <c r="I380" i="2"/>
  <c r="L379" i="2"/>
  <c r="J379" i="2"/>
  <c r="I379" i="2"/>
  <c r="J378" i="2"/>
  <c r="L378" i="2" s="1"/>
  <c r="I378" i="2"/>
  <c r="J377" i="2"/>
  <c r="L377" i="2" s="1"/>
  <c r="I377" i="2"/>
  <c r="L376" i="2"/>
  <c r="J376" i="2"/>
  <c r="I376" i="2"/>
  <c r="J375" i="2"/>
  <c r="L375" i="2" s="1"/>
  <c r="I375" i="2"/>
  <c r="J374" i="2"/>
  <c r="L374" i="2" s="1"/>
  <c r="I374" i="2"/>
  <c r="J373" i="2"/>
  <c r="L373" i="2" s="1"/>
  <c r="I373" i="2"/>
  <c r="L372" i="2"/>
  <c r="J372" i="2"/>
  <c r="I372" i="2"/>
  <c r="J371" i="2"/>
  <c r="L371" i="2" s="1"/>
  <c r="I371" i="2"/>
  <c r="J370" i="2"/>
  <c r="L370" i="2" s="1"/>
  <c r="I370" i="2"/>
  <c r="J369" i="2"/>
  <c r="L369" i="2" s="1"/>
  <c r="I369" i="2"/>
  <c r="L368" i="2"/>
  <c r="J368" i="2"/>
  <c r="I368" i="2"/>
  <c r="J367" i="2"/>
  <c r="L367" i="2" s="1"/>
  <c r="I367" i="2"/>
  <c r="L366" i="2"/>
  <c r="J366" i="2"/>
  <c r="I366" i="2"/>
  <c r="J365" i="2"/>
  <c r="L365" i="2" s="1"/>
  <c r="I365" i="2"/>
  <c r="L364" i="2"/>
  <c r="J364" i="2"/>
  <c r="I364" i="2"/>
  <c r="L363" i="2"/>
  <c r="J363" i="2"/>
  <c r="I363" i="2"/>
  <c r="J362" i="2"/>
  <c r="L362" i="2" s="1"/>
  <c r="I362" i="2"/>
  <c r="J361" i="2"/>
  <c r="L361" i="2" s="1"/>
  <c r="I361" i="2"/>
  <c r="L360" i="2"/>
  <c r="J360" i="2"/>
  <c r="I360" i="2"/>
  <c r="J359" i="2"/>
  <c r="L359" i="2" s="1"/>
  <c r="I359" i="2"/>
  <c r="J358" i="2"/>
  <c r="L358" i="2" s="1"/>
  <c r="I358" i="2"/>
  <c r="J357" i="2"/>
  <c r="L357" i="2" s="1"/>
  <c r="I357" i="2"/>
  <c r="L356" i="2"/>
  <c r="J356" i="2"/>
  <c r="I356" i="2"/>
  <c r="J355" i="2"/>
  <c r="L355" i="2" s="1"/>
  <c r="I355" i="2"/>
  <c r="J354" i="2"/>
  <c r="L354" i="2" s="1"/>
  <c r="I354" i="2"/>
  <c r="J353" i="2"/>
  <c r="L353" i="2" s="1"/>
  <c r="I353" i="2"/>
  <c r="L352" i="2"/>
  <c r="J352" i="2"/>
  <c r="I352" i="2"/>
  <c r="J351" i="2"/>
  <c r="L351" i="2" s="1"/>
  <c r="I351" i="2"/>
  <c r="L350" i="2"/>
  <c r="J350" i="2"/>
  <c r="I350" i="2"/>
  <c r="J349" i="2"/>
  <c r="L349" i="2" s="1"/>
  <c r="I349" i="2"/>
  <c r="L348" i="2"/>
  <c r="J348" i="2"/>
  <c r="I348" i="2"/>
  <c r="L347" i="2"/>
  <c r="J347" i="2"/>
  <c r="I347" i="2"/>
  <c r="J346" i="2"/>
  <c r="L346" i="2" s="1"/>
  <c r="I346" i="2"/>
  <c r="J345" i="2"/>
  <c r="L345" i="2" s="1"/>
  <c r="I345" i="2"/>
  <c r="L344" i="2"/>
  <c r="J344" i="2"/>
  <c r="I344" i="2"/>
  <c r="J343" i="2"/>
  <c r="L343" i="2" s="1"/>
  <c r="I343" i="2"/>
  <c r="J342" i="2"/>
  <c r="L342" i="2" s="1"/>
  <c r="I342" i="2"/>
  <c r="J341" i="2"/>
  <c r="L341" i="2" s="1"/>
  <c r="I341" i="2"/>
  <c r="L340" i="2"/>
  <c r="J340" i="2"/>
  <c r="I340" i="2"/>
  <c r="J339" i="2"/>
  <c r="L339" i="2" s="1"/>
  <c r="I339" i="2"/>
  <c r="J338" i="2"/>
  <c r="L338" i="2" s="1"/>
  <c r="I338" i="2"/>
  <c r="J337" i="2"/>
  <c r="L337" i="2" s="1"/>
  <c r="I337" i="2"/>
  <c r="L336" i="2"/>
  <c r="J336" i="2"/>
  <c r="I336" i="2"/>
  <c r="J335" i="2"/>
  <c r="L335" i="2" s="1"/>
  <c r="I335" i="2"/>
  <c r="L334" i="2"/>
  <c r="J334" i="2"/>
  <c r="I334" i="2"/>
  <c r="J333" i="2"/>
  <c r="L333" i="2" s="1"/>
  <c r="I333" i="2"/>
  <c r="L332" i="2"/>
  <c r="J332" i="2"/>
  <c r="I332" i="2"/>
  <c r="L331" i="2"/>
  <c r="J331" i="2"/>
  <c r="I331" i="2"/>
  <c r="J330" i="2"/>
  <c r="L330" i="2" s="1"/>
  <c r="I330" i="2"/>
  <c r="J329" i="2"/>
  <c r="L329" i="2" s="1"/>
  <c r="I329" i="2"/>
  <c r="L328" i="2"/>
  <c r="J328" i="2"/>
  <c r="I328" i="2"/>
  <c r="J327" i="2"/>
  <c r="L327" i="2" s="1"/>
  <c r="I327" i="2"/>
  <c r="J326" i="2"/>
  <c r="L326" i="2" s="1"/>
  <c r="I326" i="2"/>
  <c r="J325" i="2"/>
  <c r="L325" i="2" s="1"/>
  <c r="I325" i="2"/>
  <c r="L324" i="2"/>
  <c r="J324" i="2"/>
  <c r="I324" i="2"/>
  <c r="J323" i="2"/>
  <c r="L323" i="2" s="1"/>
  <c r="I323" i="2"/>
  <c r="J322" i="2"/>
  <c r="L322" i="2" s="1"/>
  <c r="I322" i="2"/>
  <c r="J321" i="2"/>
  <c r="L321" i="2" s="1"/>
  <c r="I321" i="2"/>
  <c r="L320" i="2"/>
  <c r="J320" i="2"/>
  <c r="I320" i="2"/>
  <c r="J319" i="2"/>
  <c r="L319" i="2" s="1"/>
  <c r="I319" i="2"/>
  <c r="L318" i="2"/>
  <c r="J318" i="2"/>
  <c r="I318" i="2"/>
  <c r="J317" i="2"/>
  <c r="L317" i="2" s="1"/>
  <c r="I317" i="2"/>
  <c r="L316" i="2"/>
  <c r="J316" i="2"/>
  <c r="I316" i="2"/>
  <c r="L315" i="2"/>
  <c r="J315" i="2"/>
  <c r="I315" i="2"/>
  <c r="J314" i="2"/>
  <c r="L314" i="2" s="1"/>
  <c r="I314" i="2"/>
  <c r="J313" i="2"/>
  <c r="L313" i="2" s="1"/>
  <c r="I313" i="2"/>
  <c r="L312" i="2"/>
  <c r="J312" i="2"/>
  <c r="I312" i="2"/>
  <c r="J311" i="2"/>
  <c r="L311" i="2" s="1"/>
  <c r="I311" i="2"/>
  <c r="J310" i="2"/>
  <c r="L310" i="2" s="1"/>
  <c r="I310" i="2"/>
  <c r="J309" i="2"/>
  <c r="L309" i="2" s="1"/>
  <c r="I309" i="2"/>
  <c r="L308" i="2"/>
  <c r="J308" i="2"/>
  <c r="I308" i="2"/>
  <c r="J307" i="2"/>
  <c r="L307" i="2" s="1"/>
  <c r="I307" i="2"/>
  <c r="J306" i="2"/>
  <c r="L306" i="2" s="1"/>
  <c r="I306" i="2"/>
  <c r="J305" i="2"/>
  <c r="L305" i="2" s="1"/>
  <c r="I305" i="2"/>
  <c r="L304" i="2"/>
  <c r="J304" i="2"/>
  <c r="I304" i="2"/>
  <c r="J303" i="2"/>
  <c r="L303" i="2" s="1"/>
  <c r="I303" i="2"/>
  <c r="L302" i="2"/>
  <c r="J302" i="2"/>
  <c r="I302" i="2"/>
  <c r="J301" i="2"/>
  <c r="L301" i="2" s="1"/>
  <c r="I301" i="2"/>
  <c r="L300" i="2"/>
  <c r="J300" i="2"/>
  <c r="I300" i="2"/>
  <c r="L299" i="2"/>
  <c r="J299" i="2"/>
  <c r="I299" i="2"/>
  <c r="J298" i="2"/>
  <c r="L298" i="2" s="1"/>
  <c r="I298" i="2"/>
  <c r="J297" i="2"/>
  <c r="L297" i="2" s="1"/>
  <c r="I297" i="2"/>
  <c r="L296" i="2"/>
  <c r="J296" i="2"/>
  <c r="I296" i="2"/>
  <c r="J295" i="2"/>
  <c r="L295" i="2" s="1"/>
  <c r="I295" i="2"/>
  <c r="J294" i="2"/>
  <c r="L294" i="2" s="1"/>
  <c r="I294" i="2"/>
  <c r="J293" i="2"/>
  <c r="L293" i="2" s="1"/>
  <c r="I293" i="2"/>
  <c r="L292" i="2"/>
  <c r="J292" i="2"/>
  <c r="I292" i="2"/>
  <c r="J291" i="2"/>
  <c r="L291" i="2" s="1"/>
  <c r="I291" i="2"/>
  <c r="J290" i="2"/>
  <c r="L290" i="2" s="1"/>
  <c r="I290" i="2"/>
  <c r="J289" i="2"/>
  <c r="L289" i="2" s="1"/>
  <c r="I289" i="2"/>
  <c r="L288" i="2"/>
  <c r="J288" i="2"/>
  <c r="I288" i="2"/>
  <c r="J287" i="2"/>
  <c r="L287" i="2" s="1"/>
  <c r="I287" i="2"/>
  <c r="L286" i="2"/>
  <c r="J286" i="2"/>
  <c r="I286" i="2"/>
  <c r="J285" i="2"/>
  <c r="L285" i="2" s="1"/>
  <c r="I285" i="2"/>
  <c r="L284" i="2"/>
  <c r="J284" i="2"/>
  <c r="I284" i="2"/>
  <c r="L283" i="2"/>
  <c r="J283" i="2"/>
  <c r="I283" i="2"/>
  <c r="J282" i="2"/>
  <c r="L282" i="2" s="1"/>
  <c r="I282" i="2"/>
  <c r="J281" i="2"/>
  <c r="L281" i="2" s="1"/>
  <c r="I281" i="2"/>
  <c r="L280" i="2"/>
  <c r="J280" i="2"/>
  <c r="I280" i="2"/>
  <c r="J279" i="2"/>
  <c r="L279" i="2" s="1"/>
  <c r="I279" i="2"/>
  <c r="J278" i="2"/>
  <c r="L278" i="2" s="1"/>
  <c r="I278" i="2"/>
  <c r="J277" i="2"/>
  <c r="L277" i="2" s="1"/>
  <c r="I277" i="2"/>
  <c r="L276" i="2"/>
  <c r="J276" i="2"/>
  <c r="I276" i="2"/>
  <c r="J275" i="2"/>
  <c r="L275" i="2" s="1"/>
  <c r="I275" i="2"/>
  <c r="J274" i="2"/>
  <c r="L274" i="2" s="1"/>
  <c r="I274" i="2"/>
  <c r="J273" i="2"/>
  <c r="L273" i="2" s="1"/>
  <c r="I273" i="2"/>
  <c r="L272" i="2"/>
  <c r="J272" i="2"/>
  <c r="I272" i="2"/>
  <c r="J271" i="2"/>
  <c r="L271" i="2" s="1"/>
  <c r="I271" i="2"/>
  <c r="L270" i="2"/>
  <c r="J270" i="2"/>
  <c r="I270" i="2"/>
  <c r="J269" i="2"/>
  <c r="L269" i="2" s="1"/>
  <c r="I269" i="2"/>
  <c r="L268" i="2"/>
  <c r="J268" i="2"/>
  <c r="I268" i="2"/>
  <c r="L267" i="2"/>
  <c r="J267" i="2"/>
  <c r="I267" i="2"/>
  <c r="J266" i="2"/>
  <c r="L266" i="2" s="1"/>
  <c r="I266" i="2"/>
  <c r="J265" i="2"/>
  <c r="L265" i="2" s="1"/>
  <c r="I265" i="2"/>
  <c r="L264" i="2"/>
  <c r="J264" i="2"/>
  <c r="I264" i="2"/>
  <c r="J263" i="2"/>
  <c r="L263" i="2" s="1"/>
  <c r="I263" i="2"/>
  <c r="J262" i="2"/>
  <c r="L262" i="2" s="1"/>
  <c r="I262" i="2"/>
  <c r="J261" i="2"/>
  <c r="L261" i="2" s="1"/>
  <c r="I261" i="2"/>
  <c r="L260" i="2"/>
  <c r="J260" i="2"/>
  <c r="I260" i="2"/>
  <c r="J259" i="2"/>
  <c r="L259" i="2" s="1"/>
  <c r="I259" i="2"/>
  <c r="J258" i="2"/>
  <c r="L258" i="2" s="1"/>
  <c r="I258" i="2"/>
  <c r="J257" i="2"/>
  <c r="L257" i="2" s="1"/>
  <c r="I257" i="2"/>
  <c r="L256" i="2"/>
  <c r="J256" i="2"/>
  <c r="I256" i="2"/>
  <c r="J255" i="2"/>
  <c r="L255" i="2" s="1"/>
  <c r="I255" i="2"/>
  <c r="L254" i="2"/>
  <c r="J254" i="2"/>
  <c r="I254" i="2"/>
  <c r="J253" i="2"/>
  <c r="L253" i="2" s="1"/>
  <c r="I253" i="2"/>
  <c r="L252" i="2"/>
  <c r="J252" i="2"/>
  <c r="I252" i="2"/>
  <c r="L251" i="2"/>
  <c r="J251" i="2"/>
  <c r="I251" i="2"/>
  <c r="J250" i="2"/>
  <c r="L250" i="2" s="1"/>
  <c r="I250" i="2"/>
  <c r="J249" i="2"/>
  <c r="L249" i="2" s="1"/>
  <c r="I249" i="2"/>
  <c r="L248" i="2"/>
  <c r="J248" i="2"/>
  <c r="I248" i="2"/>
  <c r="J247" i="2"/>
  <c r="L247" i="2" s="1"/>
  <c r="I247" i="2"/>
  <c r="J246" i="2"/>
  <c r="L246" i="2" s="1"/>
  <c r="I246" i="2"/>
  <c r="J245" i="2"/>
  <c r="L245" i="2" s="1"/>
  <c r="I245" i="2"/>
  <c r="L244" i="2"/>
  <c r="J244" i="2"/>
  <c r="I244" i="2"/>
  <c r="J243" i="2"/>
  <c r="L243" i="2" s="1"/>
  <c r="I243" i="2"/>
  <c r="J242" i="2"/>
  <c r="L242" i="2" s="1"/>
  <c r="I242" i="2"/>
  <c r="J241" i="2"/>
  <c r="L241" i="2" s="1"/>
  <c r="I241" i="2"/>
  <c r="L240" i="2"/>
  <c r="J240" i="2"/>
  <c r="I240" i="2"/>
  <c r="J239" i="2"/>
  <c r="L239" i="2" s="1"/>
  <c r="I239" i="2"/>
  <c r="L238" i="2"/>
  <c r="J238" i="2"/>
  <c r="I238" i="2"/>
  <c r="J237" i="2"/>
  <c r="L237" i="2" s="1"/>
  <c r="I237" i="2"/>
  <c r="L236" i="2"/>
  <c r="J236" i="2"/>
  <c r="I236" i="2"/>
  <c r="L235" i="2"/>
  <c r="J235" i="2"/>
  <c r="I235" i="2"/>
  <c r="J234" i="2"/>
  <c r="L234" i="2" s="1"/>
  <c r="I234" i="2"/>
  <c r="J233" i="2"/>
  <c r="L233" i="2" s="1"/>
  <c r="I233" i="2"/>
  <c r="L232" i="2"/>
  <c r="J232" i="2"/>
  <c r="I232" i="2"/>
  <c r="J231" i="2"/>
  <c r="L231" i="2" s="1"/>
  <c r="I231" i="2"/>
  <c r="J230" i="2"/>
  <c r="L230" i="2" s="1"/>
  <c r="I230" i="2"/>
  <c r="J229" i="2"/>
  <c r="L229" i="2" s="1"/>
  <c r="I229" i="2"/>
  <c r="L228" i="2"/>
  <c r="J228" i="2"/>
  <c r="I228" i="2"/>
  <c r="J227" i="2"/>
  <c r="L227" i="2" s="1"/>
  <c r="I227" i="2"/>
  <c r="J226" i="2"/>
  <c r="L226" i="2" s="1"/>
  <c r="I226" i="2"/>
  <c r="J225" i="2"/>
  <c r="L225" i="2" s="1"/>
  <c r="I225" i="2"/>
  <c r="L224" i="2"/>
  <c r="J224" i="2"/>
  <c r="I224" i="2"/>
  <c r="J223" i="2"/>
  <c r="L223" i="2" s="1"/>
  <c r="I223" i="2"/>
  <c r="L222" i="2"/>
  <c r="J222" i="2"/>
  <c r="I222" i="2"/>
  <c r="J221" i="2"/>
  <c r="L221" i="2" s="1"/>
  <c r="I221" i="2"/>
  <c r="L220" i="2"/>
  <c r="J220" i="2"/>
  <c r="I220" i="2"/>
  <c r="L219" i="2"/>
  <c r="J219" i="2"/>
  <c r="I219" i="2"/>
  <c r="J218" i="2"/>
  <c r="L218" i="2" s="1"/>
  <c r="I218" i="2"/>
  <c r="J217" i="2"/>
  <c r="L217" i="2" s="1"/>
  <c r="I217" i="2"/>
  <c r="L216" i="2"/>
  <c r="J216" i="2"/>
  <c r="I216" i="2"/>
  <c r="J215" i="2"/>
  <c r="L215" i="2" s="1"/>
  <c r="I215" i="2"/>
  <c r="J214" i="2"/>
  <c r="L214" i="2" s="1"/>
  <c r="I214" i="2"/>
  <c r="J213" i="2"/>
  <c r="L213" i="2" s="1"/>
  <c r="I213" i="2"/>
  <c r="L212" i="2"/>
  <c r="J212" i="2"/>
  <c r="I212" i="2"/>
  <c r="J211" i="2"/>
  <c r="L211" i="2" s="1"/>
  <c r="I211" i="2"/>
  <c r="J210" i="2"/>
  <c r="L210" i="2" s="1"/>
  <c r="I210" i="2"/>
  <c r="J209" i="2"/>
  <c r="L209" i="2" s="1"/>
  <c r="I209" i="2"/>
  <c r="L208" i="2"/>
  <c r="J208" i="2"/>
  <c r="I208" i="2"/>
  <c r="J207" i="2"/>
  <c r="L207" i="2" s="1"/>
  <c r="I207" i="2"/>
  <c r="L206" i="2"/>
  <c r="J206" i="2"/>
  <c r="I206" i="2"/>
  <c r="J205" i="2"/>
  <c r="L205" i="2" s="1"/>
  <c r="I205" i="2"/>
  <c r="L204" i="2"/>
  <c r="J204" i="2"/>
  <c r="I204" i="2"/>
  <c r="L203" i="2"/>
  <c r="J203" i="2"/>
  <c r="I203" i="2"/>
  <c r="J202" i="2"/>
  <c r="L202" i="2" s="1"/>
  <c r="I202" i="2"/>
  <c r="J201" i="2"/>
  <c r="L201" i="2" s="1"/>
  <c r="I201" i="2"/>
  <c r="L200" i="2"/>
  <c r="J200" i="2"/>
  <c r="I200" i="2"/>
  <c r="J199" i="2"/>
  <c r="L199" i="2" s="1"/>
  <c r="I199" i="2"/>
  <c r="J198" i="2"/>
  <c r="L198" i="2" s="1"/>
  <c r="I198" i="2"/>
  <c r="J197" i="2"/>
  <c r="L197" i="2" s="1"/>
  <c r="I197" i="2"/>
  <c r="L196" i="2"/>
  <c r="J196" i="2"/>
  <c r="I196" i="2"/>
  <c r="J195" i="2"/>
  <c r="L195" i="2" s="1"/>
  <c r="I195" i="2"/>
  <c r="J194" i="2"/>
  <c r="L194" i="2" s="1"/>
  <c r="I194" i="2"/>
  <c r="J193" i="2"/>
  <c r="L193" i="2" s="1"/>
  <c r="I193" i="2"/>
  <c r="L192" i="2"/>
  <c r="J192" i="2"/>
  <c r="I192" i="2"/>
  <c r="J191" i="2"/>
  <c r="L191" i="2" s="1"/>
  <c r="I191" i="2"/>
  <c r="L190" i="2"/>
  <c r="J190" i="2"/>
  <c r="I190" i="2"/>
  <c r="J189" i="2"/>
  <c r="L189" i="2" s="1"/>
  <c r="I189" i="2"/>
  <c r="L188" i="2"/>
  <c r="J188" i="2"/>
  <c r="I188" i="2"/>
  <c r="L187" i="2"/>
  <c r="J187" i="2"/>
  <c r="I187" i="2"/>
  <c r="J186" i="2"/>
  <c r="L186" i="2" s="1"/>
  <c r="I186" i="2"/>
  <c r="J185" i="2"/>
  <c r="L185" i="2" s="1"/>
  <c r="I185" i="2"/>
  <c r="L184" i="2"/>
  <c r="J184" i="2"/>
  <c r="I184" i="2"/>
  <c r="J183" i="2"/>
  <c r="L183" i="2" s="1"/>
  <c r="I183" i="2"/>
  <c r="J182" i="2"/>
  <c r="L182" i="2" s="1"/>
  <c r="I182" i="2"/>
  <c r="J181" i="2"/>
  <c r="L181" i="2" s="1"/>
  <c r="I181" i="2"/>
  <c r="L180" i="2"/>
  <c r="J180" i="2"/>
  <c r="I180" i="2"/>
  <c r="J179" i="2"/>
  <c r="L179" i="2" s="1"/>
  <c r="I179" i="2"/>
  <c r="J178" i="2"/>
  <c r="L178" i="2" s="1"/>
  <c r="I178" i="2"/>
  <c r="J177" i="2"/>
  <c r="L177" i="2" s="1"/>
  <c r="I177" i="2"/>
  <c r="L176" i="2"/>
  <c r="J176" i="2"/>
  <c r="I176" i="2"/>
  <c r="J175" i="2"/>
  <c r="L175" i="2" s="1"/>
  <c r="I175" i="2"/>
  <c r="L174" i="2"/>
  <c r="J174" i="2"/>
  <c r="I174" i="2"/>
  <c r="J173" i="2"/>
  <c r="L173" i="2" s="1"/>
  <c r="I173" i="2"/>
  <c r="L172" i="2"/>
  <c r="J172" i="2"/>
  <c r="I172" i="2"/>
  <c r="L171" i="2"/>
  <c r="J171" i="2"/>
  <c r="I171" i="2"/>
  <c r="J170" i="2"/>
  <c r="L170" i="2" s="1"/>
  <c r="I170" i="2"/>
  <c r="J169" i="2"/>
  <c r="L169" i="2" s="1"/>
  <c r="I169" i="2"/>
  <c r="L168" i="2"/>
  <c r="J168" i="2"/>
  <c r="I168" i="2"/>
  <c r="J167" i="2"/>
  <c r="L167" i="2" s="1"/>
  <c r="I167" i="2"/>
  <c r="J166" i="2"/>
  <c r="L166" i="2" s="1"/>
  <c r="I166" i="2"/>
  <c r="J165" i="2"/>
  <c r="L165" i="2" s="1"/>
  <c r="I165" i="2"/>
  <c r="L164" i="2"/>
  <c r="J164" i="2"/>
  <c r="I164" i="2"/>
  <c r="J163" i="2"/>
  <c r="L163" i="2" s="1"/>
  <c r="I163" i="2"/>
  <c r="J162" i="2"/>
  <c r="L162" i="2" s="1"/>
  <c r="I162" i="2"/>
  <c r="J161" i="2"/>
  <c r="L161" i="2" s="1"/>
  <c r="I161" i="2"/>
  <c r="L160" i="2"/>
  <c r="J160" i="2"/>
  <c r="I160" i="2"/>
  <c r="J159" i="2"/>
  <c r="L159" i="2" s="1"/>
  <c r="I159" i="2"/>
  <c r="L158" i="2"/>
  <c r="J158" i="2"/>
  <c r="I158" i="2"/>
  <c r="J157" i="2"/>
  <c r="L157" i="2" s="1"/>
  <c r="I157" i="2"/>
  <c r="L156" i="2"/>
  <c r="J156" i="2"/>
  <c r="I156" i="2"/>
  <c r="L155" i="2"/>
  <c r="J155" i="2"/>
  <c r="I155" i="2"/>
  <c r="J154" i="2"/>
  <c r="L154" i="2" s="1"/>
  <c r="I154" i="2"/>
  <c r="J153" i="2"/>
  <c r="L153" i="2" s="1"/>
  <c r="I153" i="2"/>
  <c r="L152" i="2"/>
  <c r="J152" i="2"/>
  <c r="I152" i="2"/>
  <c r="J151" i="2"/>
  <c r="L151" i="2" s="1"/>
  <c r="I151" i="2"/>
  <c r="J150" i="2"/>
  <c r="L150" i="2" s="1"/>
  <c r="I150" i="2"/>
  <c r="J149" i="2"/>
  <c r="L149" i="2" s="1"/>
  <c r="I149" i="2"/>
  <c r="L148" i="2"/>
  <c r="J148" i="2"/>
  <c r="I148" i="2"/>
  <c r="J147" i="2"/>
  <c r="L147" i="2" s="1"/>
  <c r="I147" i="2"/>
  <c r="J146" i="2"/>
  <c r="L146" i="2" s="1"/>
  <c r="I146" i="2"/>
  <c r="J145" i="2"/>
  <c r="L145" i="2" s="1"/>
  <c r="I145" i="2"/>
  <c r="L144" i="2"/>
  <c r="J144" i="2"/>
  <c r="I144" i="2"/>
  <c r="J143" i="2"/>
  <c r="L143" i="2" s="1"/>
  <c r="I143" i="2"/>
  <c r="L142" i="2"/>
  <c r="J142" i="2"/>
  <c r="I142" i="2"/>
  <c r="J141" i="2"/>
  <c r="L141" i="2" s="1"/>
  <c r="I141" i="2"/>
  <c r="L140" i="2"/>
  <c r="J140" i="2"/>
  <c r="I140" i="2"/>
  <c r="L139" i="2"/>
  <c r="J139" i="2"/>
  <c r="I139" i="2"/>
  <c r="J138" i="2"/>
  <c r="L138" i="2" s="1"/>
  <c r="I138" i="2"/>
  <c r="J137" i="2"/>
  <c r="L137" i="2" s="1"/>
  <c r="I137" i="2"/>
  <c r="L136" i="2"/>
  <c r="J136" i="2"/>
  <c r="I136" i="2"/>
  <c r="J135" i="2"/>
  <c r="L135" i="2" s="1"/>
  <c r="I135" i="2"/>
  <c r="J134" i="2"/>
  <c r="L134" i="2" s="1"/>
  <c r="I134" i="2"/>
  <c r="J133" i="2"/>
  <c r="L133" i="2" s="1"/>
  <c r="I133" i="2"/>
  <c r="L132" i="2"/>
  <c r="J132" i="2"/>
  <c r="I132" i="2"/>
  <c r="J131" i="2"/>
  <c r="L131" i="2" s="1"/>
  <c r="I131" i="2"/>
  <c r="J130" i="2"/>
  <c r="L130" i="2" s="1"/>
  <c r="I130" i="2"/>
  <c r="J129" i="2"/>
  <c r="L129" i="2" s="1"/>
  <c r="I129" i="2"/>
  <c r="L128" i="2"/>
  <c r="J128" i="2"/>
  <c r="I128" i="2"/>
  <c r="J127" i="2"/>
  <c r="L127" i="2" s="1"/>
  <c r="I127" i="2"/>
  <c r="L126" i="2"/>
  <c r="J126" i="2"/>
  <c r="I126" i="2"/>
  <c r="J125" i="2"/>
  <c r="L125" i="2" s="1"/>
  <c r="I125" i="2"/>
  <c r="L124" i="2"/>
  <c r="J124" i="2"/>
  <c r="I124" i="2"/>
  <c r="L123" i="2"/>
  <c r="J123" i="2"/>
  <c r="I123" i="2"/>
  <c r="J122" i="2"/>
  <c r="L122" i="2" s="1"/>
  <c r="I122" i="2"/>
  <c r="J121" i="2"/>
  <c r="L121" i="2" s="1"/>
  <c r="I121" i="2"/>
  <c r="L120" i="2"/>
  <c r="J120" i="2"/>
  <c r="I120" i="2"/>
  <c r="J119" i="2"/>
  <c r="L119" i="2" s="1"/>
  <c r="I119" i="2"/>
  <c r="J118" i="2"/>
  <c r="L118" i="2" s="1"/>
  <c r="I118" i="2"/>
  <c r="J117" i="2"/>
  <c r="L117" i="2" s="1"/>
  <c r="I117" i="2"/>
  <c r="L116" i="2"/>
  <c r="J116" i="2"/>
  <c r="I116" i="2"/>
  <c r="J115" i="2"/>
  <c r="L115" i="2" s="1"/>
  <c r="I115" i="2"/>
  <c r="J114" i="2"/>
  <c r="L114" i="2" s="1"/>
  <c r="I114" i="2"/>
  <c r="J113" i="2"/>
  <c r="L113" i="2" s="1"/>
  <c r="I113" i="2"/>
  <c r="L112" i="2"/>
  <c r="J112" i="2"/>
  <c r="I112" i="2"/>
  <c r="J111" i="2"/>
  <c r="L111" i="2" s="1"/>
  <c r="I111" i="2"/>
  <c r="L110" i="2"/>
  <c r="J110" i="2"/>
  <c r="I110" i="2"/>
  <c r="J109" i="2"/>
  <c r="L109" i="2" s="1"/>
  <c r="I109" i="2"/>
  <c r="L108" i="2"/>
  <c r="J108" i="2"/>
  <c r="I108" i="2"/>
  <c r="L107" i="2"/>
  <c r="J107" i="2"/>
  <c r="I107" i="2"/>
  <c r="J106" i="2"/>
  <c r="L106" i="2" s="1"/>
  <c r="I106" i="2"/>
  <c r="J105" i="2"/>
  <c r="L105" i="2" s="1"/>
  <c r="I105" i="2"/>
  <c r="L104" i="2"/>
  <c r="J104" i="2"/>
  <c r="I104" i="2"/>
  <c r="J103" i="2"/>
  <c r="L103" i="2" s="1"/>
  <c r="I103" i="2"/>
  <c r="J102" i="2"/>
  <c r="L102" i="2" s="1"/>
  <c r="I102" i="2"/>
  <c r="J101" i="2"/>
  <c r="L101" i="2" s="1"/>
  <c r="I101" i="2"/>
  <c r="L100" i="2"/>
  <c r="J100" i="2"/>
  <c r="I100" i="2"/>
  <c r="J99" i="2"/>
  <c r="L99" i="2" s="1"/>
  <c r="I99" i="2"/>
  <c r="J98" i="2"/>
  <c r="L98" i="2" s="1"/>
  <c r="I98" i="2"/>
  <c r="J97" i="2"/>
  <c r="L97" i="2" s="1"/>
  <c r="I97" i="2"/>
  <c r="L96" i="2"/>
  <c r="J96" i="2"/>
  <c r="I96" i="2"/>
  <c r="J95" i="2"/>
  <c r="L95" i="2" s="1"/>
  <c r="I95" i="2"/>
  <c r="J94" i="2"/>
  <c r="L94" i="2" s="1"/>
  <c r="I94" i="2"/>
  <c r="J93" i="2"/>
  <c r="L93" i="2" s="1"/>
  <c r="I93" i="2"/>
  <c r="L92" i="2"/>
  <c r="J92" i="2"/>
  <c r="I92" i="2"/>
  <c r="J91" i="2"/>
  <c r="L91" i="2" s="1"/>
  <c r="I91" i="2"/>
  <c r="J90" i="2"/>
  <c r="L90" i="2" s="1"/>
  <c r="I90" i="2"/>
  <c r="J89" i="2"/>
  <c r="L89" i="2" s="1"/>
  <c r="I89" i="2"/>
  <c r="L88" i="2"/>
  <c r="J88" i="2"/>
  <c r="I88" i="2"/>
  <c r="J87" i="2"/>
  <c r="L87" i="2" s="1"/>
  <c r="I87" i="2"/>
  <c r="J86" i="2"/>
  <c r="L86" i="2" s="1"/>
  <c r="I86" i="2"/>
  <c r="J85" i="2"/>
  <c r="L85" i="2" s="1"/>
  <c r="I85" i="2"/>
  <c r="L84" i="2"/>
  <c r="J84" i="2"/>
  <c r="I84" i="2"/>
  <c r="J83" i="2"/>
  <c r="L83" i="2" s="1"/>
  <c r="I83" i="2"/>
  <c r="J82" i="2"/>
  <c r="L82" i="2" s="1"/>
  <c r="I82" i="2"/>
  <c r="J81" i="2"/>
  <c r="L81" i="2" s="1"/>
  <c r="I81" i="2"/>
  <c r="L80" i="2"/>
  <c r="J80" i="2"/>
  <c r="I80" i="2"/>
  <c r="J79" i="2"/>
  <c r="L79" i="2" s="1"/>
  <c r="I79" i="2"/>
  <c r="J78" i="2"/>
  <c r="L78" i="2" s="1"/>
  <c r="I78" i="2"/>
  <c r="J77" i="2"/>
  <c r="L77" i="2" s="1"/>
  <c r="I77" i="2"/>
  <c r="L76" i="2"/>
  <c r="J76" i="2"/>
  <c r="I76" i="2"/>
  <c r="J75" i="2"/>
  <c r="L75" i="2" s="1"/>
  <c r="I75" i="2"/>
  <c r="J74" i="2"/>
  <c r="L74" i="2" s="1"/>
  <c r="I74" i="2"/>
  <c r="J73" i="2"/>
  <c r="L73" i="2" s="1"/>
  <c r="I73" i="2"/>
  <c r="L72" i="2"/>
  <c r="J72" i="2"/>
  <c r="I72" i="2"/>
  <c r="J71" i="2"/>
  <c r="L71" i="2" s="1"/>
  <c r="I71" i="2"/>
  <c r="J70" i="2"/>
  <c r="L70" i="2" s="1"/>
  <c r="I70" i="2"/>
  <c r="J69" i="2"/>
  <c r="L69" i="2" s="1"/>
  <c r="I69" i="2"/>
  <c r="L68" i="2"/>
  <c r="J68" i="2"/>
  <c r="I68" i="2"/>
  <c r="J67" i="2"/>
  <c r="L67" i="2" s="1"/>
  <c r="I67" i="2"/>
  <c r="J66" i="2"/>
  <c r="L66" i="2" s="1"/>
  <c r="I66" i="2"/>
  <c r="J65" i="2"/>
  <c r="L65" i="2" s="1"/>
  <c r="I65" i="2"/>
  <c r="L64" i="2"/>
  <c r="J64" i="2"/>
  <c r="I64" i="2"/>
  <c r="J63" i="2"/>
  <c r="L63" i="2" s="1"/>
  <c r="I63" i="2"/>
  <c r="J62" i="2"/>
  <c r="L62" i="2" s="1"/>
  <c r="I62" i="2"/>
  <c r="J61" i="2"/>
  <c r="L61" i="2" s="1"/>
  <c r="I61" i="2"/>
  <c r="L60" i="2"/>
  <c r="J60" i="2"/>
  <c r="I60" i="2"/>
  <c r="J59" i="2"/>
  <c r="L59" i="2" s="1"/>
  <c r="I59" i="2"/>
  <c r="J58" i="2"/>
  <c r="L58" i="2" s="1"/>
  <c r="I58" i="2"/>
  <c r="J57" i="2"/>
  <c r="L57" i="2" s="1"/>
  <c r="I57" i="2"/>
  <c r="L56" i="2"/>
  <c r="J56" i="2"/>
  <c r="I56" i="2"/>
  <c r="J55" i="2"/>
  <c r="L55" i="2" s="1"/>
  <c r="I55" i="2"/>
  <c r="J54" i="2"/>
  <c r="L54" i="2" s="1"/>
  <c r="I54" i="2"/>
  <c r="J53" i="2"/>
  <c r="L53" i="2" s="1"/>
  <c r="I53" i="2"/>
  <c r="L52" i="2"/>
  <c r="J52" i="2"/>
  <c r="I52" i="2"/>
  <c r="J51" i="2"/>
  <c r="L51" i="2" s="1"/>
  <c r="I51" i="2"/>
  <c r="J50" i="2"/>
  <c r="L50" i="2" s="1"/>
  <c r="I50" i="2"/>
  <c r="J49" i="2"/>
  <c r="L49" i="2" s="1"/>
  <c r="I49" i="2"/>
  <c r="L48" i="2"/>
  <c r="J48" i="2"/>
  <c r="I48" i="2"/>
  <c r="J47" i="2"/>
  <c r="L47" i="2" s="1"/>
  <c r="I47" i="2"/>
  <c r="J46" i="2"/>
  <c r="L46" i="2" s="1"/>
  <c r="I46" i="2"/>
  <c r="J45" i="2"/>
  <c r="L45" i="2" s="1"/>
  <c r="I45" i="2"/>
  <c r="L44" i="2"/>
  <c r="J44" i="2"/>
  <c r="I44" i="2"/>
  <c r="J43" i="2"/>
  <c r="L43" i="2" s="1"/>
  <c r="I43" i="2"/>
  <c r="J42" i="2"/>
  <c r="L42" i="2" s="1"/>
  <c r="I42" i="2"/>
  <c r="J41" i="2"/>
  <c r="L41" i="2" s="1"/>
  <c r="I41" i="2"/>
  <c r="L40" i="2"/>
  <c r="J40" i="2"/>
  <c r="I40" i="2"/>
  <c r="J39" i="2"/>
  <c r="L39" i="2" s="1"/>
  <c r="I39" i="2"/>
  <c r="J38" i="2"/>
  <c r="L38" i="2" s="1"/>
  <c r="N31" i="18" s="1"/>
  <c r="I38" i="2"/>
  <c r="J37" i="2"/>
  <c r="L37" i="2" s="1"/>
  <c r="I37" i="2"/>
  <c r="L36" i="2"/>
  <c r="J36" i="2"/>
  <c r="I36" i="2"/>
  <c r="J35" i="2"/>
  <c r="L35" i="2" s="1"/>
  <c r="I35" i="2"/>
  <c r="J34" i="2"/>
  <c r="L34" i="2" s="1"/>
  <c r="I34" i="2"/>
  <c r="J33" i="2"/>
  <c r="L33" i="2" s="1"/>
  <c r="I33" i="2"/>
  <c r="L32" i="2"/>
  <c r="J32" i="2"/>
  <c r="I32" i="2"/>
  <c r="J31" i="2"/>
  <c r="L31" i="2" s="1"/>
  <c r="I31" i="2"/>
  <c r="J30" i="2"/>
  <c r="L30" i="2" s="1"/>
  <c r="I30" i="2"/>
  <c r="J29" i="2"/>
  <c r="L29" i="2" s="1"/>
  <c r="I29" i="2"/>
  <c r="L28" i="2"/>
  <c r="J28" i="2"/>
  <c r="I28" i="2"/>
  <c r="J27" i="2"/>
  <c r="L27" i="2" s="1"/>
  <c r="I27" i="2"/>
  <c r="J26" i="2"/>
  <c r="L26" i="2" s="1"/>
  <c r="I26" i="2"/>
  <c r="J25" i="2"/>
  <c r="L25" i="2" s="1"/>
  <c r="I25" i="2"/>
  <c r="L24" i="2"/>
  <c r="J24" i="2"/>
  <c r="I24" i="2"/>
  <c r="J23" i="2"/>
  <c r="L23" i="2" s="1"/>
  <c r="I23" i="2"/>
  <c r="J22" i="2"/>
  <c r="L22" i="2" s="1"/>
  <c r="I22" i="2"/>
  <c r="J21" i="2"/>
  <c r="L21" i="2" s="1"/>
  <c r="I21" i="2"/>
  <c r="L20" i="2"/>
  <c r="J20" i="2"/>
  <c r="I20" i="2"/>
  <c r="J19" i="2"/>
  <c r="L19" i="2" s="1"/>
  <c r="I19" i="2"/>
  <c r="J18" i="2"/>
  <c r="L18" i="2" s="1"/>
  <c r="I18" i="2"/>
  <c r="J17" i="2"/>
  <c r="L17" i="2" s="1"/>
  <c r="I17" i="2"/>
  <c r="L16" i="2"/>
  <c r="J16" i="2"/>
  <c r="I16" i="2"/>
  <c r="J15" i="2"/>
  <c r="L15" i="2" s="1"/>
  <c r="N32" i="18" s="1"/>
  <c r="I15" i="2"/>
  <c r="J14" i="2"/>
  <c r="L14" i="2" s="1"/>
  <c r="I14" i="2"/>
  <c r="J13" i="2"/>
  <c r="L13" i="2" s="1"/>
  <c r="N30" i="18" s="1"/>
  <c r="I13" i="2"/>
  <c r="L12" i="2"/>
  <c r="J12" i="2"/>
  <c r="I12" i="2"/>
  <c r="J11" i="2"/>
  <c r="L11" i="2" s="1"/>
  <c r="I11" i="2"/>
  <c r="J10" i="2"/>
  <c r="L10" i="2" s="1"/>
  <c r="I10" i="2"/>
  <c r="J9" i="2"/>
  <c r="L9" i="2" s="1"/>
  <c r="I9" i="2"/>
  <c r="L8" i="2"/>
  <c r="J8" i="2"/>
  <c r="I8" i="2"/>
  <c r="J7" i="2"/>
  <c r="L7" i="2" s="1"/>
  <c r="N26" i="18" s="1"/>
  <c r="I7" i="2"/>
  <c r="J6" i="2"/>
  <c r="L6" i="2" s="1"/>
  <c r="I6" i="2"/>
  <c r="N10" i="18" s="1"/>
  <c r="J5" i="2"/>
  <c r="L5" i="2" s="1"/>
  <c r="I5" i="2"/>
  <c r="I403" i="7"/>
  <c r="H403" i="7"/>
  <c r="E403" i="7"/>
  <c r="D403" i="7"/>
  <c r="I402" i="7"/>
  <c r="H402" i="7"/>
  <c r="E402" i="7"/>
  <c r="D402" i="7"/>
  <c r="I401" i="7"/>
  <c r="H401" i="7"/>
  <c r="E401" i="7"/>
  <c r="D401" i="7"/>
  <c r="I400" i="7"/>
  <c r="H400" i="7"/>
  <c r="E400" i="7"/>
  <c r="D400" i="7"/>
  <c r="I399" i="7"/>
  <c r="H399" i="7"/>
  <c r="E399" i="7"/>
  <c r="D399" i="7"/>
  <c r="I398" i="7"/>
  <c r="H398" i="7"/>
  <c r="E398" i="7"/>
  <c r="D398" i="7"/>
  <c r="I397" i="7"/>
  <c r="H397" i="7"/>
  <c r="E397" i="7"/>
  <c r="D397" i="7"/>
  <c r="I396" i="7"/>
  <c r="H396" i="7"/>
  <c r="E396" i="7"/>
  <c r="D396" i="7"/>
  <c r="I395" i="7"/>
  <c r="H395" i="7"/>
  <c r="E395" i="7"/>
  <c r="D395" i="7"/>
  <c r="I394" i="7"/>
  <c r="H394" i="7"/>
  <c r="E394" i="7"/>
  <c r="D394" i="7"/>
  <c r="I393" i="7"/>
  <c r="H393" i="7"/>
  <c r="E393" i="7"/>
  <c r="D393" i="7"/>
  <c r="I392" i="7"/>
  <c r="H392" i="7"/>
  <c r="E392" i="7"/>
  <c r="D392" i="7"/>
  <c r="I391" i="7"/>
  <c r="H391" i="7"/>
  <c r="E391" i="7"/>
  <c r="D391" i="7"/>
  <c r="I390" i="7"/>
  <c r="H390" i="7"/>
  <c r="E390" i="7"/>
  <c r="D390" i="7"/>
  <c r="I389" i="7"/>
  <c r="H389" i="7"/>
  <c r="E389" i="7"/>
  <c r="D389" i="7"/>
  <c r="I388" i="7"/>
  <c r="H388" i="7"/>
  <c r="E388" i="7"/>
  <c r="D388" i="7"/>
  <c r="I387" i="7"/>
  <c r="H387" i="7"/>
  <c r="E387" i="7"/>
  <c r="D387" i="7"/>
  <c r="I386" i="7"/>
  <c r="H386" i="7"/>
  <c r="E386" i="7"/>
  <c r="D386" i="7"/>
  <c r="I385" i="7"/>
  <c r="H385" i="7"/>
  <c r="E385" i="7"/>
  <c r="D385" i="7"/>
  <c r="I384" i="7"/>
  <c r="H384" i="7"/>
  <c r="E384" i="7"/>
  <c r="D384" i="7"/>
  <c r="I383" i="7"/>
  <c r="H383" i="7"/>
  <c r="E383" i="7"/>
  <c r="D383" i="7"/>
  <c r="I382" i="7"/>
  <c r="H382" i="7"/>
  <c r="E382" i="7"/>
  <c r="D382" i="7"/>
  <c r="I381" i="7"/>
  <c r="H381" i="7"/>
  <c r="E381" i="7"/>
  <c r="D381" i="7"/>
  <c r="I380" i="7"/>
  <c r="H380" i="7"/>
  <c r="E380" i="7"/>
  <c r="D380" i="7"/>
  <c r="I379" i="7"/>
  <c r="H379" i="7"/>
  <c r="E379" i="7"/>
  <c r="D379" i="7"/>
  <c r="I378" i="7"/>
  <c r="H378" i="7"/>
  <c r="E378" i="7"/>
  <c r="D378" i="7"/>
  <c r="I377" i="7"/>
  <c r="H377" i="7"/>
  <c r="E377" i="7"/>
  <c r="D377" i="7"/>
  <c r="I376" i="7"/>
  <c r="H376" i="7"/>
  <c r="E376" i="7"/>
  <c r="D376" i="7"/>
  <c r="I375" i="7"/>
  <c r="H375" i="7"/>
  <c r="E375" i="7"/>
  <c r="D375" i="7"/>
  <c r="I374" i="7"/>
  <c r="H374" i="7"/>
  <c r="E374" i="7"/>
  <c r="D374" i="7"/>
  <c r="I373" i="7"/>
  <c r="H373" i="7"/>
  <c r="E373" i="7"/>
  <c r="D373" i="7"/>
  <c r="I372" i="7"/>
  <c r="H372" i="7"/>
  <c r="E372" i="7"/>
  <c r="D372" i="7"/>
  <c r="I371" i="7"/>
  <c r="H371" i="7"/>
  <c r="E371" i="7"/>
  <c r="D371" i="7"/>
  <c r="I370" i="7"/>
  <c r="H370" i="7"/>
  <c r="E370" i="7"/>
  <c r="D370" i="7"/>
  <c r="I369" i="7"/>
  <c r="H369" i="7"/>
  <c r="E369" i="7"/>
  <c r="D369" i="7"/>
  <c r="I368" i="7"/>
  <c r="H368" i="7"/>
  <c r="E368" i="7"/>
  <c r="D368" i="7"/>
  <c r="I367" i="7"/>
  <c r="H367" i="7"/>
  <c r="E367" i="7"/>
  <c r="D367" i="7"/>
  <c r="I366" i="7"/>
  <c r="H366" i="7"/>
  <c r="E366" i="7"/>
  <c r="D366" i="7"/>
  <c r="I365" i="7"/>
  <c r="H365" i="7"/>
  <c r="E365" i="7"/>
  <c r="D365" i="7"/>
  <c r="I364" i="7"/>
  <c r="H364" i="7"/>
  <c r="E364" i="7"/>
  <c r="D364" i="7"/>
  <c r="I363" i="7"/>
  <c r="H363" i="7"/>
  <c r="E363" i="7"/>
  <c r="D363" i="7"/>
  <c r="I362" i="7"/>
  <c r="H362" i="7"/>
  <c r="E362" i="7"/>
  <c r="D362" i="7"/>
  <c r="I361" i="7"/>
  <c r="H361" i="7"/>
  <c r="E361" i="7"/>
  <c r="D361" i="7"/>
  <c r="I360" i="7"/>
  <c r="H360" i="7"/>
  <c r="E360" i="7"/>
  <c r="D360" i="7"/>
  <c r="I359" i="7"/>
  <c r="H359" i="7"/>
  <c r="E359" i="7"/>
  <c r="D359" i="7"/>
  <c r="I358" i="7"/>
  <c r="H358" i="7"/>
  <c r="E358" i="7"/>
  <c r="D358" i="7"/>
  <c r="I357" i="7"/>
  <c r="H357" i="7"/>
  <c r="E357" i="7"/>
  <c r="D357" i="7"/>
  <c r="I356" i="7"/>
  <c r="H356" i="7"/>
  <c r="E356" i="7"/>
  <c r="D356" i="7"/>
  <c r="I355" i="7"/>
  <c r="H355" i="7"/>
  <c r="E355" i="7"/>
  <c r="D355" i="7"/>
  <c r="I354" i="7"/>
  <c r="H354" i="7"/>
  <c r="E354" i="7"/>
  <c r="D354" i="7"/>
  <c r="I353" i="7"/>
  <c r="H353" i="7"/>
  <c r="E353" i="7"/>
  <c r="D353" i="7"/>
  <c r="I352" i="7"/>
  <c r="H352" i="7"/>
  <c r="E352" i="7"/>
  <c r="D352" i="7"/>
  <c r="I351" i="7"/>
  <c r="H351" i="7"/>
  <c r="E351" i="7"/>
  <c r="D351" i="7"/>
  <c r="I350" i="7"/>
  <c r="H350" i="7"/>
  <c r="E350" i="7"/>
  <c r="D350" i="7"/>
  <c r="I349" i="7"/>
  <c r="H349" i="7"/>
  <c r="E349" i="7"/>
  <c r="D349" i="7"/>
  <c r="I348" i="7"/>
  <c r="H348" i="7"/>
  <c r="E348" i="7"/>
  <c r="D348" i="7"/>
  <c r="I347" i="7"/>
  <c r="H347" i="7"/>
  <c r="E347" i="7"/>
  <c r="D347" i="7"/>
  <c r="I346" i="7"/>
  <c r="H346" i="7"/>
  <c r="E346" i="7"/>
  <c r="D346" i="7"/>
  <c r="I345" i="7"/>
  <c r="H345" i="7"/>
  <c r="E345" i="7"/>
  <c r="D345" i="7"/>
  <c r="I344" i="7"/>
  <c r="H344" i="7"/>
  <c r="E344" i="7"/>
  <c r="D344" i="7"/>
  <c r="I343" i="7"/>
  <c r="H343" i="7"/>
  <c r="E343" i="7"/>
  <c r="D343" i="7"/>
  <c r="I342" i="7"/>
  <c r="H342" i="7"/>
  <c r="E342" i="7"/>
  <c r="D342" i="7"/>
  <c r="I341" i="7"/>
  <c r="H341" i="7"/>
  <c r="E341" i="7"/>
  <c r="D341" i="7"/>
  <c r="I340" i="7"/>
  <c r="H340" i="7"/>
  <c r="E340" i="7"/>
  <c r="D340" i="7"/>
  <c r="I339" i="7"/>
  <c r="H339" i="7"/>
  <c r="E339" i="7"/>
  <c r="D339" i="7"/>
  <c r="I338" i="7"/>
  <c r="H338" i="7"/>
  <c r="E338" i="7"/>
  <c r="D338" i="7"/>
  <c r="I337" i="7"/>
  <c r="H337" i="7"/>
  <c r="E337" i="7"/>
  <c r="D337" i="7"/>
  <c r="I336" i="7"/>
  <c r="H336" i="7"/>
  <c r="E336" i="7"/>
  <c r="D336" i="7"/>
  <c r="I335" i="7"/>
  <c r="H335" i="7"/>
  <c r="E335" i="7"/>
  <c r="D335" i="7"/>
  <c r="I334" i="7"/>
  <c r="H334" i="7"/>
  <c r="E334" i="7"/>
  <c r="D334" i="7"/>
  <c r="I333" i="7"/>
  <c r="H333" i="7"/>
  <c r="E333" i="7"/>
  <c r="D333" i="7"/>
  <c r="I332" i="7"/>
  <c r="H332" i="7"/>
  <c r="E332" i="7"/>
  <c r="D332" i="7"/>
  <c r="I331" i="7"/>
  <c r="H331" i="7"/>
  <c r="E331" i="7"/>
  <c r="D331" i="7"/>
  <c r="I330" i="7"/>
  <c r="H330" i="7"/>
  <c r="E330" i="7"/>
  <c r="D330" i="7"/>
  <c r="I329" i="7"/>
  <c r="H329" i="7"/>
  <c r="E329" i="7"/>
  <c r="D329" i="7"/>
  <c r="I328" i="7"/>
  <c r="H328" i="7"/>
  <c r="E328" i="7"/>
  <c r="D328" i="7"/>
  <c r="I327" i="7"/>
  <c r="H327" i="7"/>
  <c r="E327" i="7"/>
  <c r="D327" i="7"/>
  <c r="I326" i="7"/>
  <c r="H326" i="7"/>
  <c r="E326" i="7"/>
  <c r="D326" i="7"/>
  <c r="I325" i="7"/>
  <c r="H325" i="7"/>
  <c r="E325" i="7"/>
  <c r="D325" i="7"/>
  <c r="I324" i="7"/>
  <c r="H324" i="7"/>
  <c r="E324" i="7"/>
  <c r="D324" i="7"/>
  <c r="I323" i="7"/>
  <c r="H323" i="7"/>
  <c r="E323" i="7"/>
  <c r="D323" i="7"/>
  <c r="I322" i="7"/>
  <c r="H322" i="7"/>
  <c r="E322" i="7"/>
  <c r="D322" i="7"/>
  <c r="I321" i="7"/>
  <c r="H321" i="7"/>
  <c r="E321" i="7"/>
  <c r="D321" i="7"/>
  <c r="I320" i="7"/>
  <c r="H320" i="7"/>
  <c r="E320" i="7"/>
  <c r="D320" i="7"/>
  <c r="I319" i="7"/>
  <c r="H319" i="7"/>
  <c r="E319" i="7"/>
  <c r="D319" i="7"/>
  <c r="I318" i="7"/>
  <c r="H318" i="7"/>
  <c r="E318" i="7"/>
  <c r="D318" i="7"/>
  <c r="I317" i="7"/>
  <c r="H317" i="7"/>
  <c r="E317" i="7"/>
  <c r="D317" i="7"/>
  <c r="I316" i="7"/>
  <c r="H316" i="7"/>
  <c r="E316" i="7"/>
  <c r="D316" i="7"/>
  <c r="I315" i="7"/>
  <c r="H315" i="7"/>
  <c r="E315" i="7"/>
  <c r="D315" i="7"/>
  <c r="I314" i="7"/>
  <c r="H314" i="7"/>
  <c r="E314" i="7"/>
  <c r="D314" i="7"/>
  <c r="I313" i="7"/>
  <c r="H313" i="7"/>
  <c r="E313" i="7"/>
  <c r="D313" i="7"/>
  <c r="I312" i="7"/>
  <c r="H312" i="7"/>
  <c r="E312" i="7"/>
  <c r="D312" i="7"/>
  <c r="I311" i="7"/>
  <c r="H311" i="7"/>
  <c r="E311" i="7"/>
  <c r="D311" i="7"/>
  <c r="I310" i="7"/>
  <c r="H310" i="7"/>
  <c r="E310" i="7"/>
  <c r="D310" i="7"/>
  <c r="I309" i="7"/>
  <c r="H309" i="7"/>
  <c r="E309" i="7"/>
  <c r="D309" i="7"/>
  <c r="I308" i="7"/>
  <c r="H308" i="7"/>
  <c r="E308" i="7"/>
  <c r="D308" i="7"/>
  <c r="I307" i="7"/>
  <c r="H307" i="7"/>
  <c r="E307" i="7"/>
  <c r="D307" i="7"/>
  <c r="I306" i="7"/>
  <c r="H306" i="7"/>
  <c r="E306" i="7"/>
  <c r="D306" i="7"/>
  <c r="I305" i="7"/>
  <c r="H305" i="7"/>
  <c r="E305" i="7"/>
  <c r="D305" i="7"/>
  <c r="I304" i="7"/>
  <c r="H304" i="7"/>
  <c r="E304" i="7"/>
  <c r="D304" i="7"/>
  <c r="I303" i="7"/>
  <c r="H303" i="7"/>
  <c r="E303" i="7"/>
  <c r="D303" i="7"/>
  <c r="I302" i="7"/>
  <c r="H302" i="7"/>
  <c r="E302" i="7"/>
  <c r="D302" i="7"/>
  <c r="I301" i="7"/>
  <c r="H301" i="7"/>
  <c r="E301" i="7"/>
  <c r="D301" i="7"/>
  <c r="I300" i="7"/>
  <c r="H300" i="7"/>
  <c r="E300" i="7"/>
  <c r="D300" i="7"/>
  <c r="I299" i="7"/>
  <c r="H299" i="7"/>
  <c r="E299" i="7"/>
  <c r="D299" i="7"/>
  <c r="I298" i="7"/>
  <c r="H298" i="7"/>
  <c r="E298" i="7"/>
  <c r="D298" i="7"/>
  <c r="I297" i="7"/>
  <c r="H297" i="7"/>
  <c r="E297" i="7"/>
  <c r="D297" i="7"/>
  <c r="I296" i="7"/>
  <c r="H296" i="7"/>
  <c r="E296" i="7"/>
  <c r="D296" i="7"/>
  <c r="I295" i="7"/>
  <c r="H295" i="7"/>
  <c r="E295" i="7"/>
  <c r="D295" i="7"/>
  <c r="I294" i="7"/>
  <c r="H294" i="7"/>
  <c r="E294" i="7"/>
  <c r="D294" i="7"/>
  <c r="I293" i="7"/>
  <c r="H293" i="7"/>
  <c r="E293" i="7"/>
  <c r="D293" i="7"/>
  <c r="I292" i="7"/>
  <c r="H292" i="7"/>
  <c r="E292" i="7"/>
  <c r="D292" i="7"/>
  <c r="I291" i="7"/>
  <c r="H291" i="7"/>
  <c r="E291" i="7"/>
  <c r="D291" i="7"/>
  <c r="I290" i="7"/>
  <c r="H290" i="7"/>
  <c r="E290" i="7"/>
  <c r="D290" i="7"/>
  <c r="I289" i="7"/>
  <c r="H289" i="7"/>
  <c r="E289" i="7"/>
  <c r="D289" i="7"/>
  <c r="I288" i="7"/>
  <c r="H288" i="7"/>
  <c r="E288" i="7"/>
  <c r="D288" i="7"/>
  <c r="I287" i="7"/>
  <c r="H287" i="7"/>
  <c r="E287" i="7"/>
  <c r="D287" i="7"/>
  <c r="I286" i="7"/>
  <c r="H286" i="7"/>
  <c r="E286" i="7"/>
  <c r="D286" i="7"/>
  <c r="I285" i="7"/>
  <c r="H285" i="7"/>
  <c r="E285" i="7"/>
  <c r="D285" i="7"/>
  <c r="I284" i="7"/>
  <c r="H284" i="7"/>
  <c r="E284" i="7"/>
  <c r="D284" i="7"/>
  <c r="I283" i="7"/>
  <c r="H283" i="7"/>
  <c r="E283" i="7"/>
  <c r="D283" i="7"/>
  <c r="I282" i="7"/>
  <c r="H282" i="7"/>
  <c r="E282" i="7"/>
  <c r="D282" i="7"/>
  <c r="I281" i="7"/>
  <c r="H281" i="7"/>
  <c r="E281" i="7"/>
  <c r="D281" i="7"/>
  <c r="I280" i="7"/>
  <c r="H280" i="7"/>
  <c r="E280" i="7"/>
  <c r="D280" i="7"/>
  <c r="I279" i="7"/>
  <c r="H279" i="7"/>
  <c r="E279" i="7"/>
  <c r="D279" i="7"/>
  <c r="I278" i="7"/>
  <c r="H278" i="7"/>
  <c r="E278" i="7"/>
  <c r="D278" i="7"/>
  <c r="I277" i="7"/>
  <c r="H277" i="7"/>
  <c r="E277" i="7"/>
  <c r="D277" i="7"/>
  <c r="I276" i="7"/>
  <c r="H276" i="7"/>
  <c r="E276" i="7"/>
  <c r="D276" i="7"/>
  <c r="I275" i="7"/>
  <c r="H275" i="7"/>
  <c r="E275" i="7"/>
  <c r="D275" i="7"/>
  <c r="I274" i="7"/>
  <c r="H274" i="7"/>
  <c r="E274" i="7"/>
  <c r="D274" i="7"/>
  <c r="I273" i="7"/>
  <c r="H273" i="7"/>
  <c r="E273" i="7"/>
  <c r="D273" i="7"/>
  <c r="I272" i="7"/>
  <c r="H272" i="7"/>
  <c r="E272" i="7"/>
  <c r="D272" i="7"/>
  <c r="I271" i="7"/>
  <c r="H271" i="7"/>
  <c r="E271" i="7"/>
  <c r="D271" i="7"/>
  <c r="I270" i="7"/>
  <c r="H270" i="7"/>
  <c r="E270" i="7"/>
  <c r="D270" i="7"/>
  <c r="I269" i="7"/>
  <c r="H269" i="7"/>
  <c r="E269" i="7"/>
  <c r="D269" i="7"/>
  <c r="I268" i="7"/>
  <c r="H268" i="7"/>
  <c r="E268" i="7"/>
  <c r="D268" i="7"/>
  <c r="I267" i="7"/>
  <c r="H267" i="7"/>
  <c r="E267" i="7"/>
  <c r="D267" i="7"/>
  <c r="I266" i="7"/>
  <c r="H266" i="7"/>
  <c r="E266" i="7"/>
  <c r="D266" i="7"/>
  <c r="I265" i="7"/>
  <c r="H265" i="7"/>
  <c r="E265" i="7"/>
  <c r="D265" i="7"/>
  <c r="I264" i="7"/>
  <c r="H264" i="7"/>
  <c r="E264" i="7"/>
  <c r="D264" i="7"/>
  <c r="I263" i="7"/>
  <c r="H263" i="7"/>
  <c r="E263" i="7"/>
  <c r="D263" i="7"/>
  <c r="I262" i="7"/>
  <c r="H262" i="7"/>
  <c r="E262" i="7"/>
  <c r="D262" i="7"/>
  <c r="I261" i="7"/>
  <c r="H261" i="7"/>
  <c r="E261" i="7"/>
  <c r="D261" i="7"/>
  <c r="I260" i="7"/>
  <c r="H260" i="7"/>
  <c r="E260" i="7"/>
  <c r="D260" i="7"/>
  <c r="I259" i="7"/>
  <c r="H259" i="7"/>
  <c r="E259" i="7"/>
  <c r="D259" i="7"/>
  <c r="I258" i="7"/>
  <c r="H258" i="7"/>
  <c r="E258" i="7"/>
  <c r="D258" i="7"/>
  <c r="I257" i="7"/>
  <c r="H257" i="7"/>
  <c r="E257" i="7"/>
  <c r="D257" i="7"/>
  <c r="I256" i="7"/>
  <c r="H256" i="7"/>
  <c r="E256" i="7"/>
  <c r="D256" i="7"/>
  <c r="I255" i="7"/>
  <c r="H255" i="7"/>
  <c r="E255" i="7"/>
  <c r="D255" i="7"/>
  <c r="I254" i="7"/>
  <c r="H254" i="7"/>
  <c r="E254" i="7"/>
  <c r="D254" i="7"/>
  <c r="I253" i="7"/>
  <c r="H253" i="7"/>
  <c r="E253" i="7"/>
  <c r="D253" i="7"/>
  <c r="I252" i="7"/>
  <c r="H252" i="7"/>
  <c r="E252" i="7"/>
  <c r="D252" i="7"/>
  <c r="I251" i="7"/>
  <c r="H251" i="7"/>
  <c r="E251" i="7"/>
  <c r="D251" i="7"/>
  <c r="I250" i="7"/>
  <c r="H250" i="7"/>
  <c r="E250" i="7"/>
  <c r="D250" i="7"/>
  <c r="I249" i="7"/>
  <c r="H249" i="7"/>
  <c r="E249" i="7"/>
  <c r="D249" i="7"/>
  <c r="I248" i="7"/>
  <c r="H248" i="7"/>
  <c r="E248" i="7"/>
  <c r="D248" i="7"/>
  <c r="I247" i="7"/>
  <c r="H247" i="7"/>
  <c r="E247" i="7"/>
  <c r="D247" i="7"/>
  <c r="I246" i="7"/>
  <c r="H246" i="7"/>
  <c r="E246" i="7"/>
  <c r="D246" i="7"/>
  <c r="I245" i="7"/>
  <c r="H245" i="7"/>
  <c r="E245" i="7"/>
  <c r="D245" i="7"/>
  <c r="I244" i="7"/>
  <c r="H244" i="7"/>
  <c r="E244" i="7"/>
  <c r="D244" i="7"/>
  <c r="I243" i="7"/>
  <c r="H243" i="7"/>
  <c r="E243" i="7"/>
  <c r="D243" i="7"/>
  <c r="I242" i="7"/>
  <c r="H242" i="7"/>
  <c r="E242" i="7"/>
  <c r="D242" i="7"/>
  <c r="I241" i="7"/>
  <c r="H241" i="7"/>
  <c r="E241" i="7"/>
  <c r="D241" i="7"/>
  <c r="I240" i="7"/>
  <c r="H240" i="7"/>
  <c r="E240" i="7"/>
  <c r="D240" i="7"/>
  <c r="I239" i="7"/>
  <c r="H239" i="7"/>
  <c r="E239" i="7"/>
  <c r="D239" i="7"/>
  <c r="I238" i="7"/>
  <c r="H238" i="7"/>
  <c r="E238" i="7"/>
  <c r="D238" i="7"/>
  <c r="I237" i="7"/>
  <c r="H237" i="7"/>
  <c r="E237" i="7"/>
  <c r="D237" i="7"/>
  <c r="I236" i="7"/>
  <c r="H236" i="7"/>
  <c r="E236" i="7"/>
  <c r="D236" i="7"/>
  <c r="I235" i="7"/>
  <c r="H235" i="7"/>
  <c r="E235" i="7"/>
  <c r="D235" i="7"/>
  <c r="I234" i="7"/>
  <c r="H234" i="7"/>
  <c r="E234" i="7"/>
  <c r="D234" i="7"/>
  <c r="I233" i="7"/>
  <c r="H233" i="7"/>
  <c r="E233" i="7"/>
  <c r="D233" i="7"/>
  <c r="I232" i="7"/>
  <c r="H232" i="7"/>
  <c r="E232" i="7"/>
  <c r="D232" i="7"/>
  <c r="I231" i="7"/>
  <c r="H231" i="7"/>
  <c r="E231" i="7"/>
  <c r="D231" i="7"/>
  <c r="I230" i="7"/>
  <c r="H230" i="7"/>
  <c r="E230" i="7"/>
  <c r="D230" i="7"/>
  <c r="I229" i="7"/>
  <c r="H229" i="7"/>
  <c r="E229" i="7"/>
  <c r="D229" i="7"/>
  <c r="I228" i="7"/>
  <c r="H228" i="7"/>
  <c r="E228" i="7"/>
  <c r="D228" i="7"/>
  <c r="I227" i="7"/>
  <c r="H227" i="7"/>
  <c r="E227" i="7"/>
  <c r="D227" i="7"/>
  <c r="I226" i="7"/>
  <c r="H226" i="7"/>
  <c r="E226" i="7"/>
  <c r="D226" i="7"/>
  <c r="I225" i="7"/>
  <c r="H225" i="7"/>
  <c r="E225" i="7"/>
  <c r="D225" i="7"/>
  <c r="I224" i="7"/>
  <c r="H224" i="7"/>
  <c r="E224" i="7"/>
  <c r="D224" i="7"/>
  <c r="I223" i="7"/>
  <c r="H223" i="7"/>
  <c r="E223" i="7"/>
  <c r="D223" i="7"/>
  <c r="I222" i="7"/>
  <c r="H222" i="7"/>
  <c r="E222" i="7"/>
  <c r="D222" i="7"/>
  <c r="I221" i="7"/>
  <c r="H221" i="7"/>
  <c r="E221" i="7"/>
  <c r="D221" i="7"/>
  <c r="I220" i="7"/>
  <c r="H220" i="7"/>
  <c r="E220" i="7"/>
  <c r="D220" i="7"/>
  <c r="I219" i="7"/>
  <c r="H219" i="7"/>
  <c r="E219" i="7"/>
  <c r="D219" i="7"/>
  <c r="I218" i="7"/>
  <c r="H218" i="7"/>
  <c r="E218" i="7"/>
  <c r="D218" i="7"/>
  <c r="I217" i="7"/>
  <c r="H217" i="7"/>
  <c r="E217" i="7"/>
  <c r="D217" i="7"/>
  <c r="I216" i="7"/>
  <c r="H216" i="7"/>
  <c r="E216" i="7"/>
  <c r="D216" i="7"/>
  <c r="I215" i="7"/>
  <c r="H215" i="7"/>
  <c r="E215" i="7"/>
  <c r="D215" i="7"/>
  <c r="I214" i="7"/>
  <c r="H214" i="7"/>
  <c r="E214" i="7"/>
  <c r="D214" i="7"/>
  <c r="I213" i="7"/>
  <c r="H213" i="7"/>
  <c r="E213" i="7"/>
  <c r="D213" i="7"/>
  <c r="I212" i="7"/>
  <c r="H212" i="7"/>
  <c r="E212" i="7"/>
  <c r="D212" i="7"/>
  <c r="I211" i="7"/>
  <c r="H211" i="7"/>
  <c r="E211" i="7"/>
  <c r="D211" i="7"/>
  <c r="I210" i="7"/>
  <c r="H210" i="7"/>
  <c r="E210" i="7"/>
  <c r="D210" i="7"/>
  <c r="I209" i="7"/>
  <c r="H209" i="7"/>
  <c r="E209" i="7"/>
  <c r="D209" i="7"/>
  <c r="I208" i="7"/>
  <c r="H208" i="7"/>
  <c r="E208" i="7"/>
  <c r="D208" i="7"/>
  <c r="I207" i="7"/>
  <c r="H207" i="7"/>
  <c r="E207" i="7"/>
  <c r="D207" i="7"/>
  <c r="I206" i="7"/>
  <c r="H206" i="7"/>
  <c r="E206" i="7"/>
  <c r="D206" i="7"/>
  <c r="I205" i="7"/>
  <c r="H205" i="7"/>
  <c r="E205" i="7"/>
  <c r="D205" i="7"/>
  <c r="I204" i="7"/>
  <c r="H204" i="7"/>
  <c r="E204" i="7"/>
  <c r="D204" i="7"/>
  <c r="I203" i="7"/>
  <c r="H203" i="7"/>
  <c r="E203" i="7"/>
  <c r="D203" i="7"/>
  <c r="I202" i="7"/>
  <c r="H202" i="7"/>
  <c r="E202" i="7"/>
  <c r="D202" i="7"/>
  <c r="I201" i="7"/>
  <c r="H201" i="7"/>
  <c r="E201" i="7"/>
  <c r="D201" i="7"/>
  <c r="I200" i="7"/>
  <c r="H200" i="7"/>
  <c r="E200" i="7"/>
  <c r="D200" i="7"/>
  <c r="I199" i="7"/>
  <c r="H199" i="7"/>
  <c r="E199" i="7"/>
  <c r="D199" i="7"/>
  <c r="I198" i="7"/>
  <c r="H198" i="7"/>
  <c r="E198" i="7"/>
  <c r="D198" i="7"/>
  <c r="I197" i="7"/>
  <c r="H197" i="7"/>
  <c r="E197" i="7"/>
  <c r="D197" i="7"/>
  <c r="I196" i="7"/>
  <c r="H196" i="7"/>
  <c r="E196" i="7"/>
  <c r="D196" i="7"/>
  <c r="I195" i="7"/>
  <c r="H195" i="7"/>
  <c r="E195" i="7"/>
  <c r="D195" i="7"/>
  <c r="I194" i="7"/>
  <c r="H194" i="7"/>
  <c r="E194" i="7"/>
  <c r="D194" i="7"/>
  <c r="I193" i="7"/>
  <c r="H193" i="7"/>
  <c r="E193" i="7"/>
  <c r="D193" i="7"/>
  <c r="I192" i="7"/>
  <c r="H192" i="7"/>
  <c r="E192" i="7"/>
  <c r="D192" i="7"/>
  <c r="I191" i="7"/>
  <c r="H191" i="7"/>
  <c r="E191" i="7"/>
  <c r="D191" i="7"/>
  <c r="I190" i="7"/>
  <c r="H190" i="7"/>
  <c r="E190" i="7"/>
  <c r="D190" i="7"/>
  <c r="I189" i="7"/>
  <c r="H189" i="7"/>
  <c r="E189" i="7"/>
  <c r="D189" i="7"/>
  <c r="I188" i="7"/>
  <c r="H188" i="7"/>
  <c r="E188" i="7"/>
  <c r="D188" i="7"/>
  <c r="I187" i="7"/>
  <c r="H187" i="7"/>
  <c r="E187" i="7"/>
  <c r="D187" i="7"/>
  <c r="I186" i="7"/>
  <c r="H186" i="7"/>
  <c r="E186" i="7"/>
  <c r="D186" i="7"/>
  <c r="I185" i="7"/>
  <c r="H185" i="7"/>
  <c r="E185" i="7"/>
  <c r="D185" i="7"/>
  <c r="I184" i="7"/>
  <c r="H184" i="7"/>
  <c r="E184" i="7"/>
  <c r="D184" i="7"/>
  <c r="I183" i="7"/>
  <c r="H183" i="7"/>
  <c r="E183" i="7"/>
  <c r="D183" i="7"/>
  <c r="I182" i="7"/>
  <c r="H182" i="7"/>
  <c r="E182" i="7"/>
  <c r="D182" i="7"/>
  <c r="I181" i="7"/>
  <c r="H181" i="7"/>
  <c r="E181" i="7"/>
  <c r="D181" i="7"/>
  <c r="I180" i="7"/>
  <c r="H180" i="7"/>
  <c r="E180" i="7"/>
  <c r="D180" i="7"/>
  <c r="I179" i="7"/>
  <c r="H179" i="7"/>
  <c r="E179" i="7"/>
  <c r="D179" i="7"/>
  <c r="I178" i="7"/>
  <c r="H178" i="7"/>
  <c r="E178" i="7"/>
  <c r="D178" i="7"/>
  <c r="I177" i="7"/>
  <c r="H177" i="7"/>
  <c r="E177" i="7"/>
  <c r="D177" i="7"/>
  <c r="I176" i="7"/>
  <c r="H176" i="7"/>
  <c r="E176" i="7"/>
  <c r="D176" i="7"/>
  <c r="I175" i="7"/>
  <c r="H175" i="7"/>
  <c r="E175" i="7"/>
  <c r="D175" i="7"/>
  <c r="I174" i="7"/>
  <c r="H174" i="7"/>
  <c r="E174" i="7"/>
  <c r="D174" i="7"/>
  <c r="I173" i="7"/>
  <c r="H173" i="7"/>
  <c r="E173" i="7"/>
  <c r="D173" i="7"/>
  <c r="I172" i="7"/>
  <c r="H172" i="7"/>
  <c r="E172" i="7"/>
  <c r="D172" i="7"/>
  <c r="I171" i="7"/>
  <c r="H171" i="7"/>
  <c r="E171" i="7"/>
  <c r="D171" i="7"/>
  <c r="I170" i="7"/>
  <c r="H170" i="7"/>
  <c r="E170" i="7"/>
  <c r="D170" i="7"/>
  <c r="I169" i="7"/>
  <c r="H169" i="7"/>
  <c r="E169" i="7"/>
  <c r="D169" i="7"/>
  <c r="I168" i="7"/>
  <c r="H168" i="7"/>
  <c r="E168" i="7"/>
  <c r="D168" i="7"/>
  <c r="I167" i="7"/>
  <c r="H167" i="7"/>
  <c r="E167" i="7"/>
  <c r="D167" i="7"/>
  <c r="I166" i="7"/>
  <c r="H166" i="7"/>
  <c r="E166" i="7"/>
  <c r="D166" i="7"/>
  <c r="I165" i="7"/>
  <c r="H165" i="7"/>
  <c r="E165" i="7"/>
  <c r="D165" i="7"/>
  <c r="I164" i="7"/>
  <c r="H164" i="7"/>
  <c r="E164" i="7"/>
  <c r="D164" i="7"/>
  <c r="I163" i="7"/>
  <c r="H163" i="7"/>
  <c r="E163" i="7"/>
  <c r="D163" i="7"/>
  <c r="I162" i="7"/>
  <c r="H162" i="7"/>
  <c r="E162" i="7"/>
  <c r="D162" i="7"/>
  <c r="I161" i="7"/>
  <c r="H161" i="7"/>
  <c r="E161" i="7"/>
  <c r="D161" i="7"/>
  <c r="I160" i="7"/>
  <c r="H160" i="7"/>
  <c r="E160" i="7"/>
  <c r="D160" i="7"/>
  <c r="I159" i="7"/>
  <c r="H159" i="7"/>
  <c r="E159" i="7"/>
  <c r="D159" i="7"/>
  <c r="I158" i="7"/>
  <c r="H158" i="7"/>
  <c r="E158" i="7"/>
  <c r="D158" i="7"/>
  <c r="I157" i="7"/>
  <c r="H157" i="7"/>
  <c r="E157" i="7"/>
  <c r="D157" i="7"/>
  <c r="I156" i="7"/>
  <c r="H156" i="7"/>
  <c r="E156" i="7"/>
  <c r="D156" i="7"/>
  <c r="I155" i="7"/>
  <c r="H155" i="7"/>
  <c r="E155" i="7"/>
  <c r="D155" i="7"/>
  <c r="I154" i="7"/>
  <c r="H154" i="7"/>
  <c r="E154" i="7"/>
  <c r="D154" i="7"/>
  <c r="I153" i="7"/>
  <c r="H153" i="7"/>
  <c r="E153" i="7"/>
  <c r="D153" i="7"/>
  <c r="I152" i="7"/>
  <c r="H152" i="7"/>
  <c r="E152" i="7"/>
  <c r="D152" i="7"/>
  <c r="I151" i="7"/>
  <c r="H151" i="7"/>
  <c r="E151" i="7"/>
  <c r="D151" i="7"/>
  <c r="I150" i="7"/>
  <c r="H150" i="7"/>
  <c r="E150" i="7"/>
  <c r="D150" i="7"/>
  <c r="I149" i="7"/>
  <c r="H149" i="7"/>
  <c r="E149" i="7"/>
  <c r="D149" i="7"/>
  <c r="I148" i="7"/>
  <c r="H148" i="7"/>
  <c r="E148" i="7"/>
  <c r="D148" i="7"/>
  <c r="I147" i="7"/>
  <c r="H147" i="7"/>
  <c r="E147" i="7"/>
  <c r="D147" i="7"/>
  <c r="I146" i="7"/>
  <c r="H146" i="7"/>
  <c r="E146" i="7"/>
  <c r="D146" i="7"/>
  <c r="I145" i="7"/>
  <c r="H145" i="7"/>
  <c r="E145" i="7"/>
  <c r="D145" i="7"/>
  <c r="I144" i="7"/>
  <c r="H144" i="7"/>
  <c r="E144" i="7"/>
  <c r="D144" i="7"/>
  <c r="I143" i="7"/>
  <c r="H143" i="7"/>
  <c r="E143" i="7"/>
  <c r="D143" i="7"/>
  <c r="I142" i="7"/>
  <c r="H142" i="7"/>
  <c r="E142" i="7"/>
  <c r="D142" i="7"/>
  <c r="I141" i="7"/>
  <c r="H141" i="7"/>
  <c r="E141" i="7"/>
  <c r="D141" i="7"/>
  <c r="I140" i="7"/>
  <c r="H140" i="7"/>
  <c r="E140" i="7"/>
  <c r="D140" i="7"/>
  <c r="I139" i="7"/>
  <c r="H139" i="7"/>
  <c r="E139" i="7"/>
  <c r="D139" i="7"/>
  <c r="I138" i="7"/>
  <c r="H138" i="7"/>
  <c r="E138" i="7"/>
  <c r="D138" i="7"/>
  <c r="I137" i="7"/>
  <c r="H137" i="7"/>
  <c r="E137" i="7"/>
  <c r="D137" i="7"/>
  <c r="I136" i="7"/>
  <c r="H136" i="7"/>
  <c r="E136" i="7"/>
  <c r="D136" i="7"/>
  <c r="I135" i="7"/>
  <c r="H135" i="7"/>
  <c r="E135" i="7"/>
  <c r="D135" i="7"/>
  <c r="I134" i="7"/>
  <c r="H134" i="7"/>
  <c r="E134" i="7"/>
  <c r="D134" i="7"/>
  <c r="I133" i="7"/>
  <c r="H133" i="7"/>
  <c r="E133" i="7"/>
  <c r="D133" i="7"/>
  <c r="I132" i="7"/>
  <c r="H132" i="7"/>
  <c r="E132" i="7"/>
  <c r="D132" i="7"/>
  <c r="I131" i="7"/>
  <c r="H131" i="7"/>
  <c r="E131" i="7"/>
  <c r="D131" i="7"/>
  <c r="I130" i="7"/>
  <c r="H130" i="7"/>
  <c r="E130" i="7"/>
  <c r="D130" i="7"/>
  <c r="I129" i="7"/>
  <c r="H129" i="7"/>
  <c r="E129" i="7"/>
  <c r="D129" i="7"/>
  <c r="I128" i="7"/>
  <c r="H128" i="7"/>
  <c r="E128" i="7"/>
  <c r="D128" i="7"/>
  <c r="I127" i="7"/>
  <c r="H127" i="7"/>
  <c r="E127" i="7"/>
  <c r="D127" i="7"/>
  <c r="I126" i="7"/>
  <c r="H126" i="7"/>
  <c r="E126" i="7"/>
  <c r="D126" i="7"/>
  <c r="I125" i="7"/>
  <c r="H125" i="7"/>
  <c r="E125" i="7"/>
  <c r="D125" i="7"/>
  <c r="I124" i="7"/>
  <c r="H124" i="7"/>
  <c r="E124" i="7"/>
  <c r="D124" i="7"/>
  <c r="I123" i="7"/>
  <c r="H123" i="7"/>
  <c r="E123" i="7"/>
  <c r="D123" i="7"/>
  <c r="I122" i="7"/>
  <c r="H122" i="7"/>
  <c r="E122" i="7"/>
  <c r="D122" i="7"/>
  <c r="I121" i="7"/>
  <c r="H121" i="7"/>
  <c r="E121" i="7"/>
  <c r="D121" i="7"/>
  <c r="I120" i="7"/>
  <c r="H120" i="7"/>
  <c r="E120" i="7"/>
  <c r="D120" i="7"/>
  <c r="I119" i="7"/>
  <c r="H119" i="7"/>
  <c r="E119" i="7"/>
  <c r="D119" i="7"/>
  <c r="I118" i="7"/>
  <c r="H118" i="7"/>
  <c r="E118" i="7"/>
  <c r="D118" i="7"/>
  <c r="I117" i="7"/>
  <c r="H117" i="7"/>
  <c r="E117" i="7"/>
  <c r="D117" i="7"/>
  <c r="I116" i="7"/>
  <c r="H116" i="7"/>
  <c r="E116" i="7"/>
  <c r="D116" i="7"/>
  <c r="I115" i="7"/>
  <c r="H115" i="7"/>
  <c r="E115" i="7"/>
  <c r="D115" i="7"/>
  <c r="I114" i="7"/>
  <c r="H114" i="7"/>
  <c r="E114" i="7"/>
  <c r="D114" i="7"/>
  <c r="I113" i="7"/>
  <c r="H113" i="7"/>
  <c r="E113" i="7"/>
  <c r="D113" i="7"/>
  <c r="I112" i="7"/>
  <c r="H112" i="7"/>
  <c r="E112" i="7"/>
  <c r="D112" i="7"/>
  <c r="I111" i="7"/>
  <c r="H111" i="7"/>
  <c r="E111" i="7"/>
  <c r="D111" i="7"/>
  <c r="I110" i="7"/>
  <c r="H110" i="7"/>
  <c r="E110" i="7"/>
  <c r="D110" i="7"/>
  <c r="I109" i="7"/>
  <c r="H109" i="7"/>
  <c r="E109" i="7"/>
  <c r="D109" i="7"/>
  <c r="I108" i="7"/>
  <c r="H108" i="7"/>
  <c r="E108" i="7"/>
  <c r="D108" i="7"/>
  <c r="I107" i="7"/>
  <c r="H107" i="7"/>
  <c r="E107" i="7"/>
  <c r="D107" i="7"/>
  <c r="I106" i="7"/>
  <c r="H106" i="7"/>
  <c r="E106" i="7"/>
  <c r="D106" i="7"/>
  <c r="I105" i="7"/>
  <c r="H105" i="7"/>
  <c r="E105" i="7"/>
  <c r="D105" i="7"/>
  <c r="I104" i="7"/>
  <c r="H104" i="7"/>
  <c r="E104" i="7"/>
  <c r="D104" i="7"/>
  <c r="I103" i="7"/>
  <c r="H103" i="7"/>
  <c r="E103" i="7"/>
  <c r="D103" i="7"/>
  <c r="I102" i="7"/>
  <c r="H102" i="7"/>
  <c r="E102" i="7"/>
  <c r="D102" i="7"/>
  <c r="I101" i="7"/>
  <c r="H101" i="7"/>
  <c r="E101" i="7"/>
  <c r="D101" i="7"/>
  <c r="I100" i="7"/>
  <c r="H100" i="7"/>
  <c r="E100" i="7"/>
  <c r="D100" i="7"/>
  <c r="I99" i="7"/>
  <c r="H99" i="7"/>
  <c r="E99" i="7"/>
  <c r="D99" i="7"/>
  <c r="I98" i="7"/>
  <c r="H98" i="7"/>
  <c r="E98" i="7"/>
  <c r="D98" i="7"/>
  <c r="I97" i="7"/>
  <c r="H97" i="7"/>
  <c r="E97" i="7"/>
  <c r="D97" i="7"/>
  <c r="I96" i="7"/>
  <c r="H96" i="7"/>
  <c r="E96" i="7"/>
  <c r="D96" i="7"/>
  <c r="I95" i="7"/>
  <c r="H95" i="7"/>
  <c r="E95" i="7"/>
  <c r="D95" i="7"/>
  <c r="I94" i="7"/>
  <c r="H94" i="7"/>
  <c r="E94" i="7"/>
  <c r="D94" i="7"/>
  <c r="I93" i="7"/>
  <c r="H93" i="7"/>
  <c r="E93" i="7"/>
  <c r="D93" i="7"/>
  <c r="I92" i="7"/>
  <c r="H92" i="7"/>
  <c r="E92" i="7"/>
  <c r="D92" i="7"/>
  <c r="I91" i="7"/>
  <c r="H91" i="7"/>
  <c r="E91" i="7"/>
  <c r="D91" i="7"/>
  <c r="I90" i="7"/>
  <c r="H90" i="7"/>
  <c r="E90" i="7"/>
  <c r="D90" i="7"/>
  <c r="I89" i="7"/>
  <c r="H89" i="7"/>
  <c r="E89" i="7"/>
  <c r="D89" i="7"/>
  <c r="I88" i="7"/>
  <c r="H88" i="7"/>
  <c r="E88" i="7"/>
  <c r="D88" i="7"/>
  <c r="I87" i="7"/>
  <c r="H87" i="7"/>
  <c r="E87" i="7"/>
  <c r="D87" i="7"/>
  <c r="I86" i="7"/>
  <c r="H86" i="7"/>
  <c r="E86" i="7"/>
  <c r="D86" i="7"/>
  <c r="I85" i="7"/>
  <c r="H85" i="7"/>
  <c r="E85" i="7"/>
  <c r="D85" i="7"/>
  <c r="I84" i="7"/>
  <c r="H84" i="7"/>
  <c r="E84" i="7"/>
  <c r="D84" i="7"/>
  <c r="I83" i="7"/>
  <c r="H83" i="7"/>
  <c r="E83" i="7"/>
  <c r="D83" i="7"/>
  <c r="I82" i="7"/>
  <c r="H82" i="7"/>
  <c r="E82" i="7"/>
  <c r="D82" i="7"/>
  <c r="I81" i="7"/>
  <c r="H81" i="7"/>
  <c r="E81" i="7"/>
  <c r="D81" i="7"/>
  <c r="I80" i="7"/>
  <c r="H80" i="7"/>
  <c r="E80" i="7"/>
  <c r="D80" i="7"/>
  <c r="I79" i="7"/>
  <c r="H79" i="7"/>
  <c r="E79" i="7"/>
  <c r="D79" i="7"/>
  <c r="I78" i="7"/>
  <c r="H78" i="7"/>
  <c r="E78" i="7"/>
  <c r="D78" i="7"/>
  <c r="I77" i="7"/>
  <c r="H77" i="7"/>
  <c r="E77" i="7"/>
  <c r="D77" i="7"/>
  <c r="I76" i="7"/>
  <c r="H76" i="7"/>
  <c r="E76" i="7"/>
  <c r="D76" i="7"/>
  <c r="I75" i="7"/>
  <c r="H75" i="7"/>
  <c r="E75" i="7"/>
  <c r="D75" i="7"/>
  <c r="I74" i="7"/>
  <c r="H74" i="7"/>
  <c r="E74" i="7"/>
  <c r="D74" i="7"/>
  <c r="I73" i="7"/>
  <c r="H73" i="7"/>
  <c r="E73" i="7"/>
  <c r="D73" i="7"/>
  <c r="I72" i="7"/>
  <c r="H72" i="7"/>
  <c r="E72" i="7"/>
  <c r="D72" i="7"/>
  <c r="I71" i="7"/>
  <c r="H71" i="7"/>
  <c r="E71" i="7"/>
  <c r="D71" i="7"/>
  <c r="I70" i="7"/>
  <c r="H70" i="7"/>
  <c r="E70" i="7"/>
  <c r="D70" i="7"/>
  <c r="I69" i="7"/>
  <c r="H69" i="7"/>
  <c r="E69" i="7"/>
  <c r="D69" i="7"/>
  <c r="I68" i="7"/>
  <c r="H68" i="7"/>
  <c r="E68" i="7"/>
  <c r="D68" i="7"/>
  <c r="I67" i="7"/>
  <c r="H67" i="7"/>
  <c r="E67" i="7"/>
  <c r="D67" i="7"/>
  <c r="I66" i="7"/>
  <c r="H66" i="7"/>
  <c r="E66" i="7"/>
  <c r="D66" i="7"/>
  <c r="I65" i="7"/>
  <c r="H65" i="7"/>
  <c r="E65" i="7"/>
  <c r="D65" i="7"/>
  <c r="I64" i="7"/>
  <c r="H64" i="7"/>
  <c r="E64" i="7"/>
  <c r="D64" i="7"/>
  <c r="I63" i="7"/>
  <c r="H63" i="7"/>
  <c r="E63" i="7"/>
  <c r="D63" i="7"/>
  <c r="I62" i="7"/>
  <c r="H62" i="7"/>
  <c r="E62" i="7"/>
  <c r="D62" i="7"/>
  <c r="I61" i="7"/>
  <c r="H61" i="7"/>
  <c r="E61" i="7"/>
  <c r="D61" i="7"/>
  <c r="I60" i="7"/>
  <c r="H60" i="7"/>
  <c r="E60" i="7"/>
  <c r="D60" i="7"/>
  <c r="I59" i="7"/>
  <c r="H59" i="7"/>
  <c r="E59" i="7"/>
  <c r="D59" i="7"/>
  <c r="I58" i="7"/>
  <c r="H58" i="7"/>
  <c r="E58" i="7"/>
  <c r="D58" i="7"/>
  <c r="I57" i="7"/>
  <c r="H57" i="7"/>
  <c r="E57" i="7"/>
  <c r="D57" i="7"/>
  <c r="I56" i="7"/>
  <c r="H56" i="7"/>
  <c r="E56" i="7"/>
  <c r="D56" i="7"/>
  <c r="I55" i="7"/>
  <c r="H55" i="7"/>
  <c r="E55" i="7"/>
  <c r="D55" i="7"/>
  <c r="I54" i="7"/>
  <c r="H54" i="7"/>
  <c r="E54" i="7"/>
  <c r="D54" i="7"/>
  <c r="I53" i="7"/>
  <c r="H53" i="7"/>
  <c r="E53" i="7"/>
  <c r="D53" i="7"/>
  <c r="I52" i="7"/>
  <c r="H52" i="7"/>
  <c r="E52" i="7"/>
  <c r="D52" i="7"/>
  <c r="I51" i="7"/>
  <c r="H51" i="7"/>
  <c r="E51" i="7"/>
  <c r="D51" i="7"/>
  <c r="I50" i="7"/>
  <c r="H50" i="7"/>
  <c r="E50" i="7"/>
  <c r="D50" i="7"/>
  <c r="I49" i="7"/>
  <c r="H49" i="7"/>
  <c r="E49" i="7"/>
  <c r="D49" i="7"/>
  <c r="I48" i="7"/>
  <c r="H48" i="7"/>
  <c r="E48" i="7"/>
  <c r="D48" i="7"/>
  <c r="I47" i="7"/>
  <c r="H47" i="7"/>
  <c r="E47" i="7"/>
  <c r="D47" i="7"/>
  <c r="I46" i="7"/>
  <c r="H46" i="7"/>
  <c r="E46" i="7"/>
  <c r="D46" i="7"/>
  <c r="I45" i="7"/>
  <c r="H45" i="7"/>
  <c r="E45" i="7"/>
  <c r="D45" i="7"/>
  <c r="I44" i="7"/>
  <c r="H44" i="7"/>
  <c r="E44" i="7"/>
  <c r="D44" i="7"/>
  <c r="I43" i="7"/>
  <c r="H43" i="7"/>
  <c r="E43" i="7"/>
  <c r="D43" i="7"/>
  <c r="I42" i="7"/>
  <c r="H42" i="7"/>
  <c r="E42" i="7"/>
  <c r="D42" i="7"/>
  <c r="I41" i="7"/>
  <c r="H41" i="7"/>
  <c r="E41" i="7"/>
  <c r="D41" i="7"/>
  <c r="I40" i="7"/>
  <c r="H40" i="7"/>
  <c r="E40" i="7"/>
  <c r="D40" i="7"/>
  <c r="I39" i="7"/>
  <c r="H39" i="7"/>
  <c r="E39" i="7"/>
  <c r="D39" i="7"/>
  <c r="I38" i="7"/>
  <c r="H38" i="7"/>
  <c r="E38" i="7"/>
  <c r="D38" i="7"/>
  <c r="I37" i="7"/>
  <c r="H37" i="7"/>
  <c r="E37" i="7"/>
  <c r="D37" i="7"/>
  <c r="I36" i="7"/>
  <c r="H36" i="7"/>
  <c r="E36" i="7"/>
  <c r="D36" i="7"/>
  <c r="I35" i="7"/>
  <c r="H35" i="7"/>
  <c r="E35" i="7"/>
  <c r="D35" i="7"/>
  <c r="I34" i="7"/>
  <c r="H34" i="7"/>
  <c r="E34" i="7"/>
  <c r="D34" i="7"/>
  <c r="I33" i="7"/>
  <c r="H33" i="7"/>
  <c r="E33" i="7"/>
  <c r="D33" i="7"/>
  <c r="I32" i="7"/>
  <c r="H32" i="7"/>
  <c r="E32" i="7"/>
  <c r="D32" i="7"/>
  <c r="I31" i="7"/>
  <c r="H31" i="7"/>
  <c r="E31" i="7"/>
  <c r="D31" i="7"/>
  <c r="I30" i="7"/>
  <c r="H30" i="7"/>
  <c r="E30" i="7"/>
  <c r="D30" i="7"/>
  <c r="I29" i="7"/>
  <c r="H29" i="7"/>
  <c r="E29" i="7"/>
  <c r="D29" i="7"/>
  <c r="I28" i="7"/>
  <c r="H28" i="7"/>
  <c r="E28" i="7"/>
  <c r="D28" i="7"/>
  <c r="I27" i="7"/>
  <c r="H27" i="7"/>
  <c r="E27" i="7"/>
  <c r="D27" i="7"/>
  <c r="I26" i="7"/>
  <c r="H26" i="7"/>
  <c r="E26" i="7"/>
  <c r="D26" i="7"/>
  <c r="I25" i="7"/>
  <c r="H25" i="7"/>
  <c r="E25" i="7"/>
  <c r="D25" i="7"/>
  <c r="I24" i="7"/>
  <c r="H24" i="7"/>
  <c r="E24" i="7"/>
  <c r="D24" i="7"/>
  <c r="I23" i="7"/>
  <c r="H23" i="7"/>
  <c r="E23" i="7"/>
  <c r="D23" i="7"/>
  <c r="I22" i="7"/>
  <c r="H22" i="7"/>
  <c r="E22" i="7"/>
  <c r="D22" i="7"/>
  <c r="I21" i="7"/>
  <c r="H21" i="7"/>
  <c r="E21" i="7"/>
  <c r="D21" i="7"/>
  <c r="I20" i="7"/>
  <c r="H20" i="7"/>
  <c r="E20" i="7"/>
  <c r="D20" i="7"/>
  <c r="I19" i="7"/>
  <c r="H19" i="7"/>
  <c r="E19" i="7"/>
  <c r="D19" i="7"/>
  <c r="I18" i="7"/>
  <c r="H18" i="7"/>
  <c r="E18" i="7"/>
  <c r="D18" i="7"/>
  <c r="I17" i="7"/>
  <c r="H17" i="7"/>
  <c r="E17" i="7"/>
  <c r="D17" i="7"/>
  <c r="I16" i="7"/>
  <c r="H16" i="7"/>
  <c r="E16" i="7"/>
  <c r="D16" i="7"/>
  <c r="I15" i="7"/>
  <c r="H15" i="7"/>
  <c r="E15" i="7"/>
  <c r="D15" i="7"/>
  <c r="I14" i="7"/>
  <c r="H14" i="7"/>
  <c r="E14" i="7"/>
  <c r="D14" i="7"/>
  <c r="I13" i="7"/>
  <c r="H13" i="7"/>
  <c r="E13" i="7"/>
  <c r="D13" i="7"/>
  <c r="I12" i="7"/>
  <c r="H12" i="7"/>
  <c r="E12" i="7"/>
  <c r="D12" i="7"/>
  <c r="I11" i="7"/>
  <c r="H11" i="7"/>
  <c r="E11" i="7"/>
  <c r="D11" i="7"/>
  <c r="I10" i="7"/>
  <c r="H10" i="7"/>
  <c r="E10" i="7"/>
  <c r="D10" i="7"/>
  <c r="I9" i="7"/>
  <c r="H9" i="7"/>
  <c r="E9" i="7"/>
  <c r="D9" i="7"/>
  <c r="I8" i="7"/>
  <c r="H8" i="7"/>
  <c r="E8" i="7"/>
  <c r="D8" i="7"/>
  <c r="I7" i="7"/>
  <c r="F7" i="7" s="1"/>
  <c r="H7" i="7"/>
  <c r="E7" i="7"/>
  <c r="D7" i="7"/>
  <c r="I6" i="7"/>
  <c r="H6" i="7"/>
  <c r="E6" i="7"/>
  <c r="D6" i="7"/>
  <c r="I5" i="7"/>
  <c r="F5" i="7" s="1"/>
  <c r="H5" i="7"/>
  <c r="D5" i="7"/>
  <c r="D7" i="8"/>
  <c r="D11" i="8" s="1"/>
  <c r="D10" i="10"/>
  <c r="D7" i="10"/>
  <c r="D11" i="10" s="1"/>
  <c r="B14" i="10" s="1"/>
  <c r="W12" i="1"/>
  <c r="Q12" i="1"/>
  <c r="E12" i="1"/>
  <c r="W11" i="1"/>
  <c r="Q11" i="1"/>
  <c r="E11" i="1"/>
  <c r="W8" i="1"/>
  <c r="Q8" i="1"/>
  <c r="K8" i="1"/>
  <c r="K12" i="1" s="1"/>
  <c r="E8" i="1"/>
  <c r="G5" i="10" l="1"/>
  <c r="K11" i="1"/>
  <c r="N24" i="18"/>
  <c r="N28" i="18"/>
  <c r="N23" i="18"/>
  <c r="N29" i="18"/>
  <c r="N25" i="18"/>
  <c r="N15" i="18"/>
  <c r="N13" i="18"/>
  <c r="N11" i="18"/>
  <c r="N9" i="18"/>
  <c r="N7" i="18"/>
  <c r="N8" i="18"/>
  <c r="N16" i="18"/>
  <c r="N27" i="18"/>
  <c r="N14" i="18"/>
  <c r="N12" i="18"/>
  <c r="D10" i="8"/>
  <c r="D17" i="18"/>
  <c r="D33" i="18"/>
  <c r="E31" i="18" s="1"/>
  <c r="N33" i="18" l="1"/>
  <c r="O31" i="18" s="1"/>
  <c r="N17" i="18"/>
  <c r="E24" i="18"/>
  <c r="E26" i="18"/>
  <c r="E29" i="18"/>
  <c r="E23" i="18"/>
  <c r="E32" i="18"/>
  <c r="E27" i="18"/>
  <c r="E30" i="18"/>
  <c r="E25" i="18"/>
  <c r="E28" i="18"/>
  <c r="O24" i="18" l="1"/>
  <c r="O32" i="18"/>
  <c r="O23" i="18"/>
  <c r="O29" i="18"/>
  <c r="O26" i="18"/>
  <c r="O27" i="18"/>
  <c r="O30" i="18"/>
  <c r="O25" i="18"/>
  <c r="O28" i="18"/>
</calcChain>
</file>

<file path=xl/sharedStrings.xml><?xml version="1.0" encoding="utf-8"?>
<sst xmlns="http://schemas.openxmlformats.org/spreadsheetml/2006/main" count="4806" uniqueCount="1117">
  <si>
    <t>BELLS TWO HEARTED ALE 4/6 NR</t>
  </si>
  <si>
    <t>DOGFISH HEAD IPA FOR THE HOLIDAYS 12PK NR</t>
  </si>
  <si>
    <t>DOGFISH HEAD 90 MINUTE IMPERIAL IPA 4/6 NR</t>
  </si>
  <si>
    <t>FLYING DOG ME LLAMO MOLE STOUT 4/6 NR</t>
  </si>
  <si>
    <t>ANGRY ORCHARD CRISP APPLE 4/6 NR</t>
  </si>
  <si>
    <t>DEVILS BACKBONE VARIETY MIX PACK 2/12 NR</t>
  </si>
  <si>
    <t>EVOLUTION VARIETY 2/12 NR</t>
  </si>
  <si>
    <t>MODELO ESPECIAL 18PK 12.0Z NR</t>
  </si>
  <si>
    <t>BELLS BEST BROWN ALE 4/6 NR</t>
  </si>
  <si>
    <t>Beer</t>
  </si>
  <si>
    <t>Wine</t>
  </si>
  <si>
    <t>Vodka</t>
  </si>
  <si>
    <t>Cognac</t>
  </si>
  <si>
    <t>Brandy</t>
  </si>
  <si>
    <t>Rum</t>
  </si>
  <si>
    <t>Whiskey</t>
  </si>
  <si>
    <t>Champagne</t>
  </si>
  <si>
    <t>Gin</t>
  </si>
  <si>
    <t>Quantity 
Purchased</t>
  </si>
  <si>
    <t>Product
Category</t>
  </si>
  <si>
    <t>Price
Per Product</t>
  </si>
  <si>
    <t>a78923_NB TRIPPEL BELGIAN STYLE ALE 4/6NR - 12OZ</t>
  </si>
  <si>
    <t>c98349_FRANZIA BURGUNDY BIB - 5L</t>
  </si>
  <si>
    <t>d35616_BLUE MOON 4/6 NR - 12OZ</t>
  </si>
  <si>
    <t>f20019_JACK DANIELS BLACK - 750ML</t>
  </si>
  <si>
    <t>i25993_CROIX D'OR SYRAH ROSE - 750ML</t>
  </si>
  <si>
    <t>k90308_LINGANORE STEEPLE CHASE RED - 750ML</t>
  </si>
  <si>
    <t>m82247_MILLER LITE 18PK LNNR - 12OZ</t>
  </si>
  <si>
    <t>n57620_COURVOISIER COGNAC VS - 750ML</t>
  </si>
  <si>
    <t>q89412_NEWCASTLE BROWN ALE 2/12 NR - 12OZ</t>
  </si>
  <si>
    <t>r56333_LINGANORE SPICED APPLE - 750ML</t>
  </si>
  <si>
    <t>s96570_CYT FRONTERA CAB/MER - 1.5L</t>
  </si>
  <si>
    <t>t26819_HEINEKEN 18PK NR - 12OZ</t>
  </si>
  <si>
    <t>v45120_CAPTAIN MORGAN WHITE RUM - 1.75L</t>
  </si>
  <si>
    <t>w53456_MAKER'S MARK 90P - 1.75L</t>
  </si>
  <si>
    <t>x95119_YUENGLING LAGER LOOSE NR - 12OZ</t>
  </si>
  <si>
    <t>y99901_FREIXENET CORDON NEGRO BRUT - 750ML</t>
  </si>
  <si>
    <t>z19694_MUMMS BRUT PRESTIGE - 750ML</t>
  </si>
  <si>
    <t>a83061_FLYING DOG BLOODLINE 4/6NR - 12OZ</t>
  </si>
  <si>
    <t>b37138_FEVER TREE GINGER BEER 6/4PK - 200ML</t>
  </si>
  <si>
    <t>c85369_MICHELOB ULTRA 2/12 LNNR - 12OZ</t>
  </si>
  <si>
    <t>d82176_MODELO ESPECIAL 24 LOOSE NR - 12OZ</t>
  </si>
  <si>
    <t>f62682_SPY VALLEY ENVOY S/BLC - 750ML</t>
  </si>
  <si>
    <t>g51804_FLYING DOG DBL DOG PALE ALE 4/6 NR - 12OZ</t>
  </si>
  <si>
    <t>h55538_EMILIO MORO TINTO - 750ML</t>
  </si>
  <si>
    <t>j77302_SAINT GREGORY P/MEUNIER - 750ML</t>
  </si>
  <si>
    <t>k33005_SMIRNOFF VODKA - 1L</t>
  </si>
  <si>
    <t>l13809_FEVER TREE GINGER BEER 6/4PK - 200ML</t>
  </si>
  <si>
    <t>m73908_WOODBRIDGE CAB - 750ML</t>
  </si>
  <si>
    <t>n77872_SIERRA NEVADA PALE ALE 2/12 NR - 12OZ</t>
  </si>
  <si>
    <t>o76031_CARIB SHANDY GINGER 4/6 NR - 12OZ</t>
  </si>
  <si>
    <t>q36856_YELLOW TAIL CHARD - 1.5L</t>
  </si>
  <si>
    <t>r41184_ANGRY ORCHARD MIX 2/12 NR - 12OZ</t>
  </si>
  <si>
    <t>t34693_CK MONDAVI P/GRIG - 1.5L</t>
  </si>
  <si>
    <t>u65171_HEINEKEN 2/12 NR - 12OZ</t>
  </si>
  <si>
    <t>v85401_VENTA MORALES TEMP ORG - 750ML</t>
  </si>
  <si>
    <t>y78401_DOS EQUIS AMBER 2/12 NR - 12OZ</t>
  </si>
  <si>
    <t>z93747_MILLER GEN DRAFT 2/12 LNNR - 12OZ</t>
  </si>
  <si>
    <t>a27101_N&amp;N TRUCHARD CARN CHARD 16/17 - 750ML</t>
  </si>
  <si>
    <t>d99537_HEINEKEN 4/6 NR - 12OZ</t>
  </si>
  <si>
    <t>e64957_BLUE MOON 4/6 NR - 12OZ</t>
  </si>
  <si>
    <t>f43139_BAREFOOT CEL RED MOSCATO - 750ML</t>
  </si>
  <si>
    <t>h65397_PEPE LOPEZ DE ORO TEQUILA 80 - 1L</t>
  </si>
  <si>
    <t>i48032_GREY GOOSE VODKA - 1L</t>
  </si>
  <si>
    <t>l55535_SANDEMAN FINE TAWNY PORT - 750ML</t>
  </si>
  <si>
    <t>p24502_RED DIAMOND MER - 750ML</t>
  </si>
  <si>
    <t>q57466_UFO WHITE 4/6 NR - 12OZ</t>
  </si>
  <si>
    <t>s63383_JAMESON IRISH WHISKEY - 750ML</t>
  </si>
  <si>
    <t>t63508_MILLER LITE 2/12 LNNR - 12OZ</t>
  </si>
  <si>
    <t>v21882_DECOY SONOMA S/BLC - 750ML</t>
  </si>
  <si>
    <t>w13086_MICHELOB ULTRA 18PK NR - 12OZ</t>
  </si>
  <si>
    <t>x52760_SVEDKA VODKA MANGO PINEAPPLE - 1.75L</t>
  </si>
  <si>
    <t>y89254_TSINGTAO 4/6 NR - 12OZ</t>
  </si>
  <si>
    <t>z86803_AMSTEL LIGHT LOOSE NR - 12OZ</t>
  </si>
  <si>
    <t>a39408_JACK DANIELS BLACK - 1.75L</t>
  </si>
  <si>
    <t>a92546_CARIB SHANDY GINGER 4/6 NR - 12OZ</t>
  </si>
  <si>
    <t>e69298_SWEET BITCH MOSCATO ROSE - 750ML</t>
  </si>
  <si>
    <t>f98929_MILLER HIGH LIFE 2/12 LNNR - 12OZ</t>
  </si>
  <si>
    <t>g52542_CA'MONTINI P/GRIGIO - 750ML</t>
  </si>
  <si>
    <t>i94711_NEGRA MODELO 4/6 NR - 12OZ</t>
  </si>
  <si>
    <t>j96559_FRANZIA CHARD BIB - 5L</t>
  </si>
  <si>
    <t>n33962_BECKS 2/12 NR - 12OZ</t>
  </si>
  <si>
    <t>o52105_HEINEKEN 2/12 NR - 12OZ</t>
  </si>
  <si>
    <t>p31156_JACKSON EST ANDERSON VLY P/NOIR - 750ML</t>
  </si>
  <si>
    <t>q51703_FLYING DOG VARIETY PACK 2/12 NR - 12OZ</t>
  </si>
  <si>
    <t>r64691_ENGLSZELL GREGORIS NR 20/CS - 11OZ</t>
  </si>
  <si>
    <t>s51943_LINDEMANS BIN 45 CAB - 1.5L</t>
  </si>
  <si>
    <t>t14908_STONE MIXED 1712 2/12NR - 12OZ</t>
  </si>
  <si>
    <t>v96982_MARGARITAVILLE CLAS LM MARG - 1.75L</t>
  </si>
  <si>
    <t>w84500_BUD LIGHT PLATINUM 2/12 NR - 12OZ</t>
  </si>
  <si>
    <t>x65472_LAB PORTUGUESE RSE - 750ML</t>
  </si>
  <si>
    <t>y84074_CORONA EXTRA 18PK NR - 12OZ</t>
  </si>
  <si>
    <t>d79340_PLATINUM VODKA - 1.75L</t>
  </si>
  <si>
    <t>h89759_MEZZACORONA P/GRIG - 1.5L</t>
  </si>
  <si>
    <t>l15159_CORONA EXTRA 2/12 NR - 12OZ</t>
  </si>
  <si>
    <t>m73879_TITO'S HANDMADE VODKA - 1.75L</t>
  </si>
  <si>
    <t>n46444_SUPERBOCK BEER 4/6NR - 11.2OZ</t>
  </si>
  <si>
    <t>p47806_SIERRA NEVADA OKTOBERFEST 4/6NR - 12OZ</t>
  </si>
  <si>
    <t>q81382_ROLLING ROCK 4/6 LN - 12OZ</t>
  </si>
  <si>
    <t>r71436_MIONETTO PRESTIGE COLL 1887 PROSECCO BRUT - 750ML</t>
  </si>
  <si>
    <t>t31889_CORONA EXTRA 18PK NR - 12OZ</t>
  </si>
  <si>
    <t>u75537_JACK DANIELS WATERMELON PUNCH 4/6NR - 10OZ</t>
  </si>
  <si>
    <t>v87529_MODELO ESPECIAL 2/12 NR - 12OZ</t>
  </si>
  <si>
    <t>x99000_NOBILO MARLBOROUGH S/BLC - 750ML</t>
  </si>
  <si>
    <t>y59275_POGGIO DI BORTOLONE FRAPPATO - 750ML</t>
  </si>
  <si>
    <t>z87402_PERONI 4/6 NR - 12OZ</t>
  </si>
  <si>
    <t>a52660_HENNESSY COGNAC VSOP - 200ML</t>
  </si>
  <si>
    <t>c55527_LE NOBLE BORDEAUX BLANC - 750ML</t>
  </si>
  <si>
    <t>f83218_STOLICHNAYA VODKA - 1.75L</t>
  </si>
  <si>
    <t>g17766_AGALIMA MARGARITA MIX - 1L</t>
  </si>
  <si>
    <t>h76154_BUD LIGHT PLATINUM 2/12 NR - 12OZ</t>
  </si>
  <si>
    <t>i91196_R MONDAVI PR SEL MER - 750ML</t>
  </si>
  <si>
    <t>n45418_LIBERTY CREEK P/GRIG - 500ML</t>
  </si>
  <si>
    <t>o24593_LARCENY KY STRAIGHT BOURBON WHISKEY- 1.75L</t>
  </si>
  <si>
    <t>p76255_ICEHOUSE 2/12 LNNR - 12OZ</t>
  </si>
  <si>
    <t>r63417_CUPCAKE MARLBOROUGH S/BLC - 750ML</t>
  </si>
  <si>
    <t>s11175_CORONA EXTRA 2/12 NR - 12OZ</t>
  </si>
  <si>
    <t>t65872_PIERRE HENRI S/BLC - 750ML</t>
  </si>
  <si>
    <t>v37532_FONSECA BIN 27 PORTO - 750ML</t>
  </si>
  <si>
    <t>w78042_MILLER LITE 2/12 LNNR - 12OZ</t>
  </si>
  <si>
    <t>y92588_MARK WEST CAL P/NOIR - 750ML</t>
  </si>
  <si>
    <t>a78803_REKORDERLIG PASSIONFRUIT CN - 11.2OZ</t>
  </si>
  <si>
    <t>b16467_WM HILL NORTH COAST CAB - 750ML</t>
  </si>
  <si>
    <t>c42064_GALLO FAMILY VYDS SWEET PINEAPPLE - 750ML</t>
  </si>
  <si>
    <t>e27783_MICHELOB 2/12 LNNR - 12OZ</t>
  </si>
  <si>
    <t>f21290_JOSE CUERVO  SILVER TRAD - 750ML</t>
  </si>
  <si>
    <t>g44180_HARPOON IPA 4/6 NR - 12OZ</t>
  </si>
  <si>
    <t>h94769_YUENGLING BLACK &amp; TAN 2/12 NR - 12OZ</t>
  </si>
  <si>
    <t>i66691_SANTINI SWEET MARSALA - 1L</t>
  </si>
  <si>
    <t>j69529_FLYING DOG GONZO IMP PORTER 4/6 NR - 12OZ</t>
  </si>
  <si>
    <t>p83706_JAMESON IRISH WHISKEY - 750ML</t>
  </si>
  <si>
    <t>q82396_AMSTEL LIGHT LOOSE NR - 12OZ</t>
  </si>
  <si>
    <t>s28510_OLD CROW BOURBON - 1L</t>
  </si>
  <si>
    <t>u66663_HIGHLAND PARK 12YR - 750ML</t>
  </si>
  <si>
    <t>w72511_DOS EQUIS LAGER 4/6 NR - 12OZ</t>
  </si>
  <si>
    <t>y77510_MODELO ESPECIAL 4/6 NR - 12OZ</t>
  </si>
  <si>
    <t>z41737_SMITH &amp; HOOK CAB - 750ML</t>
  </si>
  <si>
    <t>a19283_SMIRNOFF PARTY PACK 2/12 NR - 11.2OZ</t>
  </si>
  <si>
    <t>c32471_BLACK BOX PINOT NOIR - 3L</t>
  </si>
  <si>
    <t>d81951_OLD GRAND DAD BOURBON - 750ML</t>
  </si>
  <si>
    <t>e48489_CORONA EXTRA 18PK NR - 12OZ</t>
  </si>
  <si>
    <t>f37054_SINGHA BEER 4/6 NR - 12OZ</t>
  </si>
  <si>
    <t>g56962_HEINEKEN 2/12 NR - 12OZ</t>
  </si>
  <si>
    <t>i80805_HEINEKEN LOOSE NR - 12OZ</t>
  </si>
  <si>
    <t>k32484_BRUNDLMAYER GRUN VELT TERR - 750ML</t>
  </si>
  <si>
    <t>m84896_CH LE CALVAIRE BORDEAUX SUPERIEUR - 750ML</t>
  </si>
  <si>
    <t>o62343_STELLA ARTOIS 4/6 NR - 11.2OZ</t>
  </si>
  <si>
    <t>q45091_YELLOW TAIL MERLOT - 750ML</t>
  </si>
  <si>
    <t>r21746_MIKES CRAN LEMONADE 4/6 NR - 11.2OZ</t>
  </si>
  <si>
    <t>t22529_BOWMAN'S VODKA - 1L</t>
  </si>
  <si>
    <t>v86280_FLYING DOG THE TRUTH 4/6NR - 12OZ</t>
  </si>
  <si>
    <t>w64045_WOODBRIDGE CAB - 1.5L</t>
  </si>
  <si>
    <t>x92161_GUINNESS STOUT 2/12 NR - 12OZ</t>
  </si>
  <si>
    <t>z76182_MOLSON GOLDEN 2/12 LNNR - 12OZ</t>
  </si>
  <si>
    <t>a40066_BERINGER FOUNDERS EST CAB - 750ML</t>
  </si>
  <si>
    <t>b18338_BOSCO R MONTPUL - 750ML</t>
  </si>
  <si>
    <t>c60796_YUENGLING LAGER 2/12 NR - 12OZ</t>
  </si>
  <si>
    <t>d82993_ANNALISA P/GRIG - 750ML</t>
  </si>
  <si>
    <t>e38810_ALAMOS MALBEC - 750ML</t>
  </si>
  <si>
    <t>f56036_ALTO DEL CARMEN PISCO - 750ML</t>
  </si>
  <si>
    <t>g91476_DOGFISH HEAD 60 MIN IPA 4/6 NR - 12OZ</t>
  </si>
  <si>
    <t>i21045_KENTUCKY GENTLEMAN - 750ML</t>
  </si>
  <si>
    <t>j93594_MIKES HARD MANGO 4/6 NR - 11.2OZ</t>
  </si>
  <si>
    <t>k73701_EL TRACTOR MAL - 750ML</t>
  </si>
  <si>
    <t>m81222_MILLER LITE  HIGH GRAPHIC LOOSE NR - 12OZ</t>
  </si>
  <si>
    <t>o33479_RUMPLE MINZE SCHNAPPS 100 - 1L</t>
  </si>
  <si>
    <t>p85877_CH PARADIS ROSE 17 - 750ML</t>
  </si>
  <si>
    <t>q98678_EVOLUTION LOT #3 IPA  4/6NR - 12OZ</t>
  </si>
  <si>
    <t>a68452_KIRALYUDVAR TOKAJI FURMINT SEC - 750ML</t>
  </si>
  <si>
    <t>a40264_R MONDAVI PR SEL MER - 750ML</t>
  </si>
  <si>
    <t>b45032_SANTA JULIA DULCE TINTO SWEET RED - 750ML</t>
  </si>
  <si>
    <t>c49072_ROLLING ROCK 18PK NR - 12OZ</t>
  </si>
  <si>
    <t>e82627_PRESIDENTIAL 10YR TAWNY PORT - 750ML</t>
  </si>
  <si>
    <t>f82486_LENZ MOSER GRUN VELT - 1L</t>
  </si>
  <si>
    <t>h45483_FLYING DOG PALE ALE NR - 12OZ</t>
  </si>
  <si>
    <t>j49000_YALUMBA Y SERIES VIOG - 750ML</t>
  </si>
  <si>
    <t>k53705_CAPRICCIO WHITE SANGRIA- 750ML</t>
  </si>
  <si>
    <t>m38532_DEKUYPER LUSCIOUS PEACHTREE - 1L</t>
  </si>
  <si>
    <t>n26790_HEINEKEN LOOSE NR - 12OZ</t>
  </si>
  <si>
    <t>o14257_MODELO ESPECIAL 24 LOOSE NR - 12OZ</t>
  </si>
  <si>
    <t>p88899_STELLA ARTOIS 2/12 NR - 11.2OZ</t>
  </si>
  <si>
    <t>q46350_SIERRA NEVADA PALE ALE 2/12 NR - 12OZ</t>
  </si>
  <si>
    <t>r47575_NAKED TURTLE WHITE RUM - 1L</t>
  </si>
  <si>
    <t>s70226_HEINEKEN LOOSE NR - 12OZ</t>
  </si>
  <si>
    <t>t89559_MODELO ESPECIAL 24 LOOSE NR - 12OZ</t>
  </si>
  <si>
    <t>u99309_SMIRNOFF VODKA 100P - 750ML</t>
  </si>
  <si>
    <t>v37030_AMSTEL LIGHT 4/6 NR - 12OZ</t>
  </si>
  <si>
    <t>x49616_MILLER LITE 2/12 LNNR - 12OZ</t>
  </si>
  <si>
    <t>y38367_CARLSBERG ELEPHANT 4/6 NR - 12OZ</t>
  </si>
  <si>
    <t>z19532_COORS LT 4/6 LNNR - 12OZ</t>
  </si>
  <si>
    <t>c45191_BULLEIT RYE WHISKEY - 750ML</t>
  </si>
  <si>
    <t>d64800_YUENGLING LAGER 2/12 NR - 12OZ</t>
  </si>
  <si>
    <t>e67385_HEINEKEN 18PK NR - 12OZ</t>
  </si>
  <si>
    <t>g48770_STELLA ARTOIS 4/6 NR - 11.2OZ</t>
  </si>
  <si>
    <t>h28696_COPPER &amp; KINGS  BRANDY  &amp; OAK BARRELS - 750ML</t>
  </si>
  <si>
    <t>i37516_FOLEY ESTATES P/NOIR - 750ML</t>
  </si>
  <si>
    <t>j81985_MILLER LITE 2/12 LNNR - 12OZ</t>
  </si>
  <si>
    <t>m54498_TAVERNELLO BIANCO - 750ML</t>
  </si>
  <si>
    <t>n39283_BUD LIGHT PLATINUM 2/12 NR - 12OZ</t>
  </si>
  <si>
    <t>o39614_DOS EQUIS LAGER 4/6 NR - 12OZ</t>
  </si>
  <si>
    <t>p47628_CK MONDAVI CHARD - 1.5L</t>
  </si>
  <si>
    <t>r14956_HENNESSY BLACK - 750ML</t>
  </si>
  <si>
    <t>v29280_SAUZA HORNITOS PLATA - 750ML</t>
  </si>
  <si>
    <t>a22516_WOODBRIDGE RED BLEND GO PACK - 500ML</t>
  </si>
  <si>
    <t>b32114_CAMBRIA JULIAS BENCHBREAK P/NOIR - 750ML</t>
  </si>
  <si>
    <t>c94496_BLUE MOON BLGM WHTE ALE 2/12NR - 12OZ</t>
  </si>
  <si>
    <t>d64817_MILLER HIGH LIFE 18PK NR - 12OZ</t>
  </si>
  <si>
    <t>e10925_PRESIDENTE 4/6 NR - 12OZ</t>
  </si>
  <si>
    <t>f22433_CORONA EXTRA LOOSE NR - 12OZ</t>
  </si>
  <si>
    <t>i33636_ESPOLON BLANCO TEQ - 750ML</t>
  </si>
  <si>
    <t>j68275_DOGFISH HEAD 60 MIN IPA 4/6 NR - 12OZ</t>
  </si>
  <si>
    <t>m58504_HEINEKEN LIGHT 2/12 NR - 12OZ</t>
  </si>
  <si>
    <t>n93935_GUINNESS DRAFT 4/6NR - 11.2OZ</t>
  </si>
  <si>
    <t>p48120_FLYING FISH OCTOBERFISH 4/6NR - 12OZ</t>
  </si>
  <si>
    <t>q12738_CORONA EXTRA 18PK NR - 12OZ</t>
  </si>
  <si>
    <t>r45691_WYCLIFF CAL BRUT CHAMP - 750ML</t>
  </si>
  <si>
    <t>s27892_STOLICHNAYA VODKA - 1L</t>
  </si>
  <si>
    <t>t52658_CORONA EXTRA LOOSE NR - 12OZ</t>
  </si>
  <si>
    <t>u67338_LUSTIG ZWEIGELT TROKEN - 750ML</t>
  </si>
  <si>
    <t>v68795_BUD 2/12 LNNR - 12OZ</t>
  </si>
  <si>
    <t>w64092_BULLEIT BOURBON - 1.75L</t>
  </si>
  <si>
    <t>x66754_FLYING DOG SNAKE DOG 4/6 NR - 12OZ</t>
  </si>
  <si>
    <t>y97397_FRONT PORCH MER - 1.5L</t>
  </si>
  <si>
    <t>z49958_WM HILL CENTRAL COAST CAB - 750ML</t>
  </si>
  <si>
    <t>a55807_BV CENTURY CELLARS MER - 1.5L</t>
  </si>
  <si>
    <t>d39848_MARTINI &amp; ROSSI SWEET VERMOUTH  - LITER</t>
  </si>
  <si>
    <t>f19869_JOHNNIE WALKER RED - 1.75L</t>
  </si>
  <si>
    <t>h90213_WOODBRIDGE MER 24/C - 187ML</t>
  </si>
  <si>
    <t>j72792_LUJURIA MALB - 750ML</t>
  </si>
  <si>
    <t>l57893_BAREFOOT CEL S/BLC - 750ML</t>
  </si>
  <si>
    <t>o39212_EVOLUTION LOT #3 IPA  4/6NR - 12OZ</t>
  </si>
  <si>
    <t>p16647_AUSTIN HOPE CAB - 750ML</t>
  </si>
  <si>
    <t>s22990_CHARLES SMITH VELVET DEVIL MER - 750ML</t>
  </si>
  <si>
    <t>t61627_K JACKSON VINT RES CAB - 750ML</t>
  </si>
  <si>
    <t>u40608_BOMBAY GIN - 1.75L</t>
  </si>
  <si>
    <t>w96360_1800 SILVER TEQUILA - 1.75L</t>
  </si>
  <si>
    <t>a36174_PETER VELLA MOSCATO SANGRIA - 5L</t>
  </si>
  <si>
    <t>c34423_PERONI 4/6 NR - 12OZ</t>
  </si>
  <si>
    <t>g46966_KALIBER BREW NA 4/6 NR - 12OZ</t>
  </si>
  <si>
    <t>i56916_HEINEKEN LOOSE NR - 12OZ</t>
  </si>
  <si>
    <t>k56482_STELLA ARTOIS 2/12 NR - 11.2OZ</t>
  </si>
  <si>
    <t>l54438_ANTINORI CHN CL RES - 750ML</t>
  </si>
  <si>
    <t>n80408_MODELO ESPECIAL 2/12 NR - 12OZ</t>
  </si>
  <si>
    <t>p44414_CIELO PINOT GRIG DEL VENETO - 750ML</t>
  </si>
  <si>
    <t>q65846_ST PAULI GIRL NA 4/6 NR - 12OZ</t>
  </si>
  <si>
    <t>u47598_SAM ADAMS OCTOBERFEST 4/6 LN - 12OZ</t>
  </si>
  <si>
    <t>v51570_DEVILS BACKBONE EIGHT POINT IPA 4/6NR - 12OZ</t>
  </si>
  <si>
    <t>w97966_MASTER OF MIXES COCKTAIL ESS LIME JUICE - 375ML</t>
  </si>
  <si>
    <t>c45056_HEINEKEN 2/12 NR - 12OZ</t>
  </si>
  <si>
    <t>d31008_CUPCAKE CENTRAL COAST CHARD - 750ML</t>
  </si>
  <si>
    <t>e55526_GRANT'S SCOTCH - 1.75L</t>
  </si>
  <si>
    <t>f68117_FLYING DOG THE TRUTH 4/6NR - 12OZ</t>
  </si>
  <si>
    <t>h44403_BARON HERZOG CAB - 750ML</t>
  </si>
  <si>
    <t>k95310_COORS LT 2/12 LNNR - 12OZ</t>
  </si>
  <si>
    <t>l15502_JOSE CUERVO GOLDEN MARGARITA - 1.75L</t>
  </si>
  <si>
    <t>m48156_SEAGRAM ORANGE/PINE BAHA MAMA 6/4NR - 355ML</t>
  </si>
  <si>
    <t>n69797_MARQUES DE CACERES ORG RED RIOJA - 750ML</t>
  </si>
  <si>
    <t>o91691_MIONETTO PRESTIGE COLL 1887 PROSECCO BRUT - 750ML</t>
  </si>
  <si>
    <t>p22496_FLYING DOG PALE ALE NR - 12OZ</t>
  </si>
  <si>
    <t>q29774_BELLA SERA P/GRIG - 1.5L</t>
  </si>
  <si>
    <t>s73070_OMISSION LAGER 4/6 NR - 11.2OZ</t>
  </si>
  <si>
    <t>u38505_PERONI 4/6 NR - 12OZ</t>
  </si>
  <si>
    <t>x30770_SIERRA NEVADA PALE ALE 2/12 NR - 12OZ</t>
  </si>
  <si>
    <t>y73330_KADABRA MENDOZA CAB - 750ML</t>
  </si>
  <si>
    <t>z65422_JIM BEAM DOUBLE OAK BOURBON - 750ML</t>
  </si>
  <si>
    <t>a28833_FLYING DOG GONZO IMP PORTER 4/6 NR - 12OZ</t>
  </si>
  <si>
    <t>a68093_HOFBRAU DUNKEL 4/6NR - 11.2OZ</t>
  </si>
  <si>
    <t>b60343_MICHELOB 2/12 LNNR - 12OZ</t>
  </si>
  <si>
    <t>c42528_MILLER LITE WIDEMOUTH ALUM 2/9 NR - 16OZ</t>
  </si>
  <si>
    <t>d25800_CORONA EXTRA 18PK NR - 12OZ</t>
  </si>
  <si>
    <t>b89237_STEEL RESERVE BLACKBERRY S 12/CS - 24OZ</t>
  </si>
  <si>
    <t>g14574_MOLSON ADIAN 2/12 LNNR - 12OZ</t>
  </si>
  <si>
    <t>j49516_MILWAUKEE BEST LT 2/15PK  - 12OZ</t>
  </si>
  <si>
    <t>p56202_MODELO ESPECIAL SUITCASE S - 12OZ</t>
  </si>
  <si>
    <t>p54341_YUENGLING LAGER 2/12  - 12OZ</t>
  </si>
  <si>
    <t>w22326_MILLER HIGH LIFE 2/12  - 12OZ</t>
  </si>
  <si>
    <t>c22096_MILLER GEN DRAFT 30PK  - 12OZ</t>
  </si>
  <si>
    <t>g79984_DC BRAU PUBLIC PALE ALE 4/6 S - 12OZ</t>
  </si>
  <si>
    <t>j35522_MILLER LITE BIG 18 PK S - 16OZ</t>
  </si>
  <si>
    <t>k33097_MICHELOB ULTRA 30PK  - 12OZ</t>
  </si>
  <si>
    <t>n63414_SHOCK TOP BELGIUM WHITE 6/4 S - 16OZ</t>
  </si>
  <si>
    <t>u10560_MILLER LITE BIG 18 PK S - 16OZ</t>
  </si>
  <si>
    <t>u42989_BUD 30PK  - 12OZ</t>
  </si>
  <si>
    <t>z31007_COORS LT 18PK  - 12OZ</t>
  </si>
  <si>
    <t>b70724_HEINEKEN 12/24.0Z  - 24OZ</t>
  </si>
  <si>
    <t>e95702_BUSCH 30PK  - 12OZ</t>
  </si>
  <si>
    <t>k67470_COORS LT 12/24OZ  - 24OZ</t>
  </si>
  <si>
    <t>o38507_CORONA LIGHT 2/12 S - 12OZ</t>
  </si>
  <si>
    <t>e45554_HEINEKEN 2/12  - 12OZ</t>
  </si>
  <si>
    <t>j79091_COORS LT 2/12  - 12OZ</t>
  </si>
  <si>
    <t>m60084_COORS LIGHT 18PK S - 16OZ</t>
  </si>
  <si>
    <t>x90055_BUD 30PK  - 12OZ</t>
  </si>
  <si>
    <t>a95873_MILLER HIGH LIFE 30PK  - 12OZ</t>
  </si>
  <si>
    <t>d91591_MILLER LITE 2/12  - 12OZ</t>
  </si>
  <si>
    <t>k16626_MILLER HIGH LIFE 2/12  - 12OZ</t>
  </si>
  <si>
    <t>m76706_MILLER LITE BIG 18 PK S - 16OZ</t>
  </si>
  <si>
    <t>o24197_BUSCH 30PK  - 12OZ</t>
  </si>
  <si>
    <t>v23184_CORONA EXTRA 2/12  - 12OZ</t>
  </si>
  <si>
    <t>b74085_MILLER LITE 30PK  - 12OZ</t>
  </si>
  <si>
    <t>j62404_MILLER LITE 2/12  - 12OZ</t>
  </si>
  <si>
    <t>n42707_DOMINION DI BELGIAN TRIPEL 4/6NR - 12OZ</t>
  </si>
  <si>
    <t>y73968_COORS LT 18PK  - 12OZ</t>
  </si>
  <si>
    <t>n55285_MODELO ESPECIAL SUITCASE S - 12OZ</t>
  </si>
  <si>
    <t>r11486_HEAVY SEAS LOOSE NON 4/6S - 12OZ</t>
  </si>
  <si>
    <t>t16198_COORS LT 18PK  - 12OZ</t>
  </si>
  <si>
    <t>v56257_COORS LT 30PK  - 12OZ</t>
  </si>
  <si>
    <t>x69919_MILLER LITE BIG 18 PK S - 16OZ</t>
  </si>
  <si>
    <t>y71473_BUD 15/25OZ S - 25OZ</t>
  </si>
  <si>
    <t>g46114_HEINEKEN LIGHT 2/12 FP  - 12OZ</t>
  </si>
  <si>
    <t>i34874_ICEHOUSE EDGE S 12/CS - 24OZ</t>
  </si>
  <si>
    <t>w66375_MILLER LITE 30PK  - 12OZ</t>
  </si>
  <si>
    <t>k59648_MILLER LITE 18PK  - 12OZ</t>
  </si>
  <si>
    <t>t97269_FOSTER LAGER 12/25.4OZ  - 25.4OZ</t>
  </si>
  <si>
    <t>u28729_COORS LT 12/24OZ  - 24OZ</t>
  </si>
  <si>
    <t>x88831_COORS LT 30PK  - 12OZ</t>
  </si>
  <si>
    <t>z25180_MILWAUKEE BEST ICE S - 24OZ</t>
  </si>
  <si>
    <t>l89926_SCHLITZ MALT 12/24OZ  - 24OZ</t>
  </si>
  <si>
    <t>i37536_BUD 18PK 16OZ  - 16OZ</t>
  </si>
  <si>
    <t>n39138_BUSCH LT 30PK  - 12OZ</t>
  </si>
  <si>
    <t>r46574_MODELO ESPECIAL SUITCASE S - 12OZ</t>
  </si>
  <si>
    <t>v40870_BUD 30PK  - 12OZ</t>
  </si>
  <si>
    <t>z52200_COORS LT 18PK  - 12OZ</t>
  </si>
  <si>
    <t>b55761_YUENGLING LAGER 2/12  - 12OZ</t>
  </si>
  <si>
    <t>d86684_MILWAUKEE BEST 2/15PK  - 12OZ</t>
  </si>
  <si>
    <t>e29778_BUD 18PK 16OZ  - 16OZ</t>
  </si>
  <si>
    <t>h90339_MILLER GEN DRAFT 2/12  - 12OZ</t>
  </si>
  <si>
    <t>j55259_MODELO ESPECIAL SUITCASE S - 12OZ</t>
  </si>
  <si>
    <t>r58173_MODELO ESPECIAL S 12/CS - 24OZ</t>
  </si>
  <si>
    <t>x94326_MILLER LITE 18PK  - 12OZ</t>
  </si>
  <si>
    <t>b61155_TECATE 4/6  - 12OZ</t>
  </si>
  <si>
    <t>g59459_BUD LIGHT CHELADA S 15/CS - 25OZ</t>
  </si>
  <si>
    <t>v33343_GUINNESS DRAFT 6/4 S - 14.9OZ</t>
  </si>
  <si>
    <t>w22199_MILWAUKEE BEST 2/15PK  - 12OZ</t>
  </si>
  <si>
    <t>Liquer</t>
  </si>
  <si>
    <t>Product
Number</t>
  </si>
  <si>
    <t xml:space="preserve">l24563_GOOSE ISLAND NEXT COAST IPA 4/6PK - 12OZ </t>
  </si>
  <si>
    <t xml:space="preserve">o26180_WHITE CLAW MANGO 6/4 - 16OZ </t>
  </si>
  <si>
    <t xml:space="preserve">s13086_NATTY DADDY 2/15PK - 12OZ </t>
  </si>
  <si>
    <t>w94907_BELLS TWO HEARTED ALE 4/6 NR - 12OZ</t>
  </si>
  <si>
    <t>d33115_HEINEKEN  SUITCASE S 24/ - 12OZ</t>
  </si>
  <si>
    <t>l67851_DOGFISH HEAD IPA FOR THE HOLIDAYS 12PK NR - 24OZ</t>
  </si>
  <si>
    <t xml:space="preserve">q75387_FREE WILL KRAGLE 6/4 - 16OZ </t>
  </si>
  <si>
    <t>u70375_DOGFISH HEAD 90 MINUTE IMPERIAL IPA 4/6 NR - 12OZ</t>
  </si>
  <si>
    <t>z70810_HEINEKEN  SUITCASE S 24/ - 12OZ</t>
  </si>
  <si>
    <t>h58408_FLYING DOG ME LLAMO MOLE STOUT 4/6 NR - 12OZ</t>
  </si>
  <si>
    <t>l14944_CORONA PREMIER 2/12PK - 12 OZ</t>
  </si>
  <si>
    <t xml:space="preserve">p85893_WHITE CLAW VARIETY PACK 2/12PK - 12.OZ </t>
  </si>
  <si>
    <t>s48784_HEINEKEN  SUITCASE S 24/ - 12OZ</t>
  </si>
  <si>
    <t>l53243_GUINNESS MILK STOUT 4/6PK - 36OZ</t>
  </si>
  <si>
    <t xml:space="preserve">s44598_OSKAR BLUES DALES PALE ALE 12.OZ 4/6 - 12OZ </t>
  </si>
  <si>
    <t>u55549_ANGRY ORCHARD CRISP APPLE 4/6 NR - 48OZ</t>
  </si>
  <si>
    <t>w46507_ATLAS DANCE OF DAYS 4/6 - 16OZ</t>
  </si>
  <si>
    <t xml:space="preserve">d82240_SMIRNOFF ICE SMASH CHERRY LIME - 23.5 OZ </t>
  </si>
  <si>
    <t>a52173_CORONA EXTRA 18PK  - 12OZ</t>
  </si>
  <si>
    <t>b97646_BUD LIGHT 30PK - 24OZ</t>
  </si>
  <si>
    <t xml:space="preserve">f57543_NATTY DADDY 15 - 25OZ </t>
  </si>
  <si>
    <t>b95206_GOOSE ISLAND IPA 2/15PK - 12OZ</t>
  </si>
  <si>
    <t>e73074_DC BRAU JOINT RESOLUTION 4/6 S - 12OZ</t>
  </si>
  <si>
    <t xml:space="preserve">g19019_WHITE CLAW MANGO 6/4 - 16OZ </t>
  </si>
  <si>
    <t>k25213_DEVILS BACKBONE VARIETY MIX PACK 2/12 NR - 24OZ</t>
  </si>
  <si>
    <t>m61463_HEINEKEN  SUITCASE S 24/- 12OZ</t>
  </si>
  <si>
    <t>x91920_BUD LIGHT 2/12 -24OZ</t>
  </si>
  <si>
    <t xml:space="preserve">y85434_CORONA FAMILIAR 2/12PK - 12OZ </t>
  </si>
  <si>
    <t xml:space="preserve">f81989_GOOSE ISLAND IPA 4PK - 16OZ </t>
  </si>
  <si>
    <t>m74226_MODELO ESPECIAL 18PK 12.0Z NR -12OZ</t>
  </si>
  <si>
    <t>t90159_WILD BASIN VARIETY PACK 2/12 S -12OZ</t>
  </si>
  <si>
    <t>y26270_BUD LIGHT 2/12 -12OZ</t>
  </si>
  <si>
    <t>a48657_CHATEAU LA TUILERIE DU PUY BORDEAUX - 750ML</t>
  </si>
  <si>
    <t>i89895_AUSTIN WATERMELON CIDER 4/6 S - 24OZ</t>
  </si>
  <si>
    <t>j66421_BUD LIGHT 15/25OZ S - 24OZ</t>
  </si>
  <si>
    <t>t24893_BELLS BEST BROWN ALE 4/6 NR -12OZ</t>
  </si>
  <si>
    <t>h81585_SAM ADAMS FALL VARIETY 12PK- 24OZ</t>
  </si>
  <si>
    <t>l81761_FLYING DOG FAMILY DRAMA IMPERIAL PILSNER 4/6 NR - 12.0Z</t>
  </si>
  <si>
    <t>n93871_BUD ICE 15/25OZ S - 24oz</t>
  </si>
  <si>
    <t xml:space="preserve">r93262_COORS LIGHT 2/12 - 16OZ </t>
  </si>
  <si>
    <t xml:space="preserve">q41931_BUD LIGHT 18PK - 12OZ </t>
  </si>
  <si>
    <t xml:space="preserve">s93178_BLUE MOON BELGIAN WHITE 2/15PK - 12OZ </t>
  </si>
  <si>
    <t>y28670_BUD LIGHT 2/12 -12OZ</t>
  </si>
  <si>
    <t xml:space="preserve">g84647_CORONA PREMIER 2/12PK - 12 OZ </t>
  </si>
  <si>
    <t xml:space="preserve">h26067_BLUE MOON BELGIAN WHITE 2/15PK -12OZ </t>
  </si>
  <si>
    <t xml:space="preserve">k70491_MIKES HARD LEMONADE VARIETY PACK 2/12PK - 12OZ </t>
  </si>
  <si>
    <t>z25280_NATIONAL BOHEMIAN 2/12- 12OZ</t>
  </si>
  <si>
    <t>e61109_MODELO ESPECIAL - 12OZ</t>
  </si>
  <si>
    <t xml:space="preserve">d72759_ATLAS BREW WORKS PONZI - 12OZ </t>
  </si>
  <si>
    <t>h46270_CAMARENA TEQUILA SILVER - 1.75L</t>
  </si>
  <si>
    <t>m41971_BACARDI RUM WHITE - 1.75L</t>
  </si>
  <si>
    <t xml:space="preserve">g88308_MODELO ESPECIAL - 16OZ  </t>
  </si>
  <si>
    <t>j73169_SMIRNOFF PINEAPPLE 4/6 NR - 2OZ</t>
  </si>
  <si>
    <t xml:space="preserve">b94647_AUSTIN PINEAPPLE CIDER - 12.OZ </t>
  </si>
  <si>
    <t xml:space="preserve">k92732_TECATE LIGHT - 12.OZ  </t>
  </si>
  <si>
    <t>t10661_MODELO ESPECIAL 2/12  - 12OZ</t>
  </si>
  <si>
    <t>x21610_MODELO ESPECIAL 4/6  - 12OZ</t>
  </si>
  <si>
    <t>u83252_CIROC VODKA PINEAPPLE - 1.75L</t>
  </si>
  <si>
    <t xml:space="preserve">h30142_AUSTIN CIDER BLOOD ORANGE  4/6 - 12.OZ </t>
  </si>
  <si>
    <t>z31337_KNOB CREEK BOURBON 9YR 100P - 750ML</t>
  </si>
  <si>
    <t>l32801_DON Q RUM CRISTAL - 1.75L</t>
  </si>
  <si>
    <t>l96929_RITAS LIME A RITA 15/25OZ - 25OZ</t>
  </si>
  <si>
    <t>w46392_STOLICHNAYA VODKA ORANGE - 1L</t>
  </si>
  <si>
    <t>o76581_ARISTOCRAT RUM LIGHT - 1L</t>
  </si>
  <si>
    <t xml:space="preserve">a77877_RITAS CHERRY LIMEADE RITA 15 - 25OZ </t>
  </si>
  <si>
    <t xml:space="preserve">c33894_FLYING DOG NOTHING BUT A G THING HAZY PALE ALE 4/6 - 12OZ </t>
  </si>
  <si>
    <t>q78256_EVOLUTION VARIETY 2/12 NR - 24OZ</t>
  </si>
  <si>
    <t>o57775_BRUGAL RUM  ANEJO - 1.75L</t>
  </si>
  <si>
    <t>s44726_FISH EYE CAB BIB - 3L</t>
  </si>
  <si>
    <t>r50995_RITAS WATER MELON RITA 8OZ 2/12 CN -12OZ</t>
  </si>
  <si>
    <t>o57775_BRUGAL RUM ANEJO - 1.75L</t>
  </si>
  <si>
    <t>Product
Name</t>
  </si>
  <si>
    <t>Product
Size</t>
  </si>
  <si>
    <t>Find
Hyphen</t>
  </si>
  <si>
    <t>Raw
Product Data</t>
  </si>
  <si>
    <t>Number of
Length</t>
  </si>
  <si>
    <t>NB TRIPPEL BELGIAN STYLE ALE 4/6NR</t>
  </si>
  <si>
    <t>STEEL RESERVE BLACKBERRY S 12/CS</t>
  </si>
  <si>
    <t>FRANZIA BURGUNDY BIB</t>
  </si>
  <si>
    <t>BLUE MOON 4/6 NR</t>
  </si>
  <si>
    <t>MODELO ESPECIAL</t>
  </si>
  <si>
    <t>JACK DANIELS BLACK</t>
  </si>
  <si>
    <t>MOLSON ADIAN 2/12 LNNR</t>
  </si>
  <si>
    <t>SAM ADAMS FALL VARIETY 12P</t>
  </si>
  <si>
    <t>CROIX D'OR SYRAH ROSE</t>
  </si>
  <si>
    <t xml:space="preserve">MILWAUKEE BEST LT 2/15PK </t>
  </si>
  <si>
    <t>LINGANORE STEEPLE CHASE RED</t>
  </si>
  <si>
    <t>GOOSE ISLAND NEXT COAST IPA 4/6PK</t>
  </si>
  <si>
    <t>MILLER LITE 18PK LNNR</t>
  </si>
  <si>
    <t>COURVOISIER COGNAC VS</t>
  </si>
  <si>
    <t>WHITE CLAW MANGO 6/4</t>
  </si>
  <si>
    <t>MODELO ESPECIAL SUITCASE S</t>
  </si>
  <si>
    <t>NEWCASTLE BROWN ALE 2/12 NR</t>
  </si>
  <si>
    <t>LINGANORE SPICED APPLE</t>
  </si>
  <si>
    <t>CYT FRONTERA CAB/MER</t>
  </si>
  <si>
    <t>HEINEKEN 18PK NR</t>
  </si>
  <si>
    <t>CAPTAIN MORGAN WHITE RUM</t>
  </si>
  <si>
    <t>MAKER'S MARK 90P</t>
  </si>
  <si>
    <t>YUENGLING LAGER LOOSE NR</t>
  </si>
  <si>
    <t>FREIXENET CORDON NEGRO BRUT</t>
  </si>
  <si>
    <t>MUMMS BRUT PRESTIGE</t>
  </si>
  <si>
    <t>FLYING DOG BLOODLINE 4/6NR</t>
  </si>
  <si>
    <t>FEVER TREE GINGER BEER 6/4PK</t>
  </si>
  <si>
    <t>MICHELOB ULTRA 2/12 LNNR</t>
  </si>
  <si>
    <t>MODELO ESPECIAL 24 LOOSE NR</t>
  </si>
  <si>
    <t>SPY VALLEY ENVOY S/BLC</t>
  </si>
  <si>
    <t>FLYING DOG DBL DOG PALE ALE 4/6 NR</t>
  </si>
  <si>
    <t>EMILIO MORO TINTO</t>
  </si>
  <si>
    <t>SAINT GREGORY P/MEUNIER</t>
  </si>
  <si>
    <t>SMIRNOFF VODKA</t>
  </si>
  <si>
    <t>WOODBRIDGE CAB</t>
  </si>
  <si>
    <t>SIERRA NEVADA PALE ALE 2/12 NR</t>
  </si>
  <si>
    <t>CARIB SHANDY GINGER 4/6 NR</t>
  </si>
  <si>
    <t xml:space="preserve">YUENGLING LAGER 2/12 </t>
  </si>
  <si>
    <t>YELLOW TAIL CHARD</t>
  </si>
  <si>
    <t>ANGRY ORCHARD MIX 2/12 NR</t>
  </si>
  <si>
    <t>CK MONDAVI P/GRIG</t>
  </si>
  <si>
    <t>HEINEKEN 2/12 NR</t>
  </si>
  <si>
    <t>VENTA MORALES TEMP ORG</t>
  </si>
  <si>
    <t xml:space="preserve">MILLER HIGH LIFE 2/12 </t>
  </si>
  <si>
    <t>DOS EQUIS AMBER 2/12 NR</t>
  </si>
  <si>
    <t>MILLER GEN DRAFT 2/12 LNNR</t>
  </si>
  <si>
    <t>N&amp;N TRUCHARD CARN CHARD 16/17</t>
  </si>
  <si>
    <t xml:space="preserve">MILLER GEN DRAFT 30PK </t>
  </si>
  <si>
    <t>HEINEKEN 4/6 NR</t>
  </si>
  <si>
    <t>BAREFOOT CEL RED MOSCATO</t>
  </si>
  <si>
    <t>DC BRAU PUBLIC PALE ALE 4/6 S</t>
  </si>
  <si>
    <t>PEPE LOPEZ DE ORO TEQUILA 80</t>
  </si>
  <si>
    <t>GREY GOOSE VODKA</t>
  </si>
  <si>
    <t>MILLER LITE BIG 18 PK S</t>
  </si>
  <si>
    <t xml:space="preserve">MICHELOB ULTRA 30PK </t>
  </si>
  <si>
    <t>SANDEMAN FINE TAWNY PORT</t>
  </si>
  <si>
    <t>SHOCK TOP BELGIUM WHITE 6/4 S</t>
  </si>
  <si>
    <t>RED DIAMOND MER</t>
  </si>
  <si>
    <t>UFO WHITE 4/6 NR</t>
  </si>
  <si>
    <t>JAMESON IRISH WHISKEY</t>
  </si>
  <si>
    <t>MILLER LITE 2/12 LNNR</t>
  </si>
  <si>
    <t>DECOY SONOMA S/BLC</t>
  </si>
  <si>
    <t>MICHELOB ULTRA 18PK NR</t>
  </si>
  <si>
    <t>SVEDKA VODKA MANGO PINEAPPLE</t>
  </si>
  <si>
    <t>TSINGTAO 4/6 NR</t>
  </si>
  <si>
    <t>AMSTEL LIGHT LOOSE NR</t>
  </si>
  <si>
    <t>ATLAS BREW WORKS PONZI</t>
  </si>
  <si>
    <t>SWEET BITCH MOSCATO ROSE</t>
  </si>
  <si>
    <t>MILLER HIGH LIFE 2/12 LNNR</t>
  </si>
  <si>
    <t>CA'MONTINI P/GRIGIO</t>
  </si>
  <si>
    <t>CAMARENA TEQUILA SILVER</t>
  </si>
  <si>
    <t>NEGRA MODELO 4/6 NR</t>
  </si>
  <si>
    <t>FRANZIA CHARD BIB</t>
  </si>
  <si>
    <t>BACARDI RUM WHITE</t>
  </si>
  <si>
    <t>BECKS 2/12 NR</t>
  </si>
  <si>
    <t>JACKSON EST ANDERSON VLY P/NOIR</t>
  </si>
  <si>
    <t>FLYING DOG VARIETY PACK 2/12 NR</t>
  </si>
  <si>
    <t>ENGLSZELL GREGORIS NR 20/CS</t>
  </si>
  <si>
    <t>LINDEMANS BIN 45 CAB</t>
  </si>
  <si>
    <t>STONE MIXED 1712 2/12NR</t>
  </si>
  <si>
    <t xml:space="preserve">BUD 30PK </t>
  </si>
  <si>
    <t>MARGARITAVILLE CLAS LM MARG</t>
  </si>
  <si>
    <t>BUD LIGHT PLATINUM 2/12 NR</t>
  </si>
  <si>
    <t>LAB PORTUGUESE RSE</t>
  </si>
  <si>
    <t>CORONA EXTRA 18PK NR</t>
  </si>
  <si>
    <t xml:space="preserve">COORS LT 18PK </t>
  </si>
  <si>
    <t xml:space="preserve">HEINEKEN 12/24.0Z </t>
  </si>
  <si>
    <t>PLATINUM VODKA</t>
  </si>
  <si>
    <t xml:space="preserve">BUSCH 30PK </t>
  </si>
  <si>
    <t>MEZZACORONA P/GRIG</t>
  </si>
  <si>
    <t>SMIRNOFF PINEAPPLE 4/6 NR</t>
  </si>
  <si>
    <t xml:space="preserve">COORS LT 12/24OZ </t>
  </si>
  <si>
    <t>CORONA EXTRA 2/12 NR</t>
  </si>
  <si>
    <t>TITO'S HANDMADE VODKA</t>
  </si>
  <si>
    <t>SUPERBOCK BEER 4/6NR</t>
  </si>
  <si>
    <t>CORONA LIGHT 2/12 S</t>
  </si>
  <si>
    <t>SIERRA NEVADA OKTOBERFEST 4/6NR</t>
  </si>
  <si>
    <t>ROLLING ROCK 4/6 LN</t>
  </si>
  <si>
    <t>MIONETTO PRESTIGE COLL 1887 PROSECCO BRUT</t>
  </si>
  <si>
    <t>NATTY DADDY 2/15PK</t>
  </si>
  <si>
    <t>JACK DANIELS WATERMELON PUNCH 4/6NR</t>
  </si>
  <si>
    <t>MODELO ESPECIAL 2/12 NR</t>
  </si>
  <si>
    <t>NOBILO MARLBOROUGH S/BLC</t>
  </si>
  <si>
    <t>POGGIO DI BORTOLONE FRAPPATO</t>
  </si>
  <si>
    <t>PERONI 4/6 NR</t>
  </si>
  <si>
    <t>HENNESSY COGNAC VSOP</t>
  </si>
  <si>
    <t>AUSTIN PINEAPPLE CIDER</t>
  </si>
  <si>
    <t>LE NOBLE BORDEAUX BLANC</t>
  </si>
  <si>
    <t>HEINEKEN  SUITCASE S 24/</t>
  </si>
  <si>
    <t xml:space="preserve">HEINEKEN 2/12 </t>
  </si>
  <si>
    <t>STOLICHNAYA VODKA</t>
  </si>
  <si>
    <t>AGALIMA MARGARITA MIX</t>
  </si>
  <si>
    <t>R MONDAVI PR SEL MER</t>
  </si>
  <si>
    <t xml:space="preserve">COORS LT 2/12 </t>
  </si>
  <si>
    <t>TECATE LIGHT</t>
  </si>
  <si>
    <t>COORS LIGHT 18PK S</t>
  </si>
  <si>
    <t>LIBERTY CREEK P/GRIG</t>
  </si>
  <si>
    <t>LARCENY KY STRAIGHT BOURBON WHISKE</t>
  </si>
  <si>
    <t>ICEHOUSE 2/12 LNNR</t>
  </si>
  <si>
    <t>FREE WILL KRAGLE 6/4</t>
  </si>
  <si>
    <t>CUPCAKE MARLBOROUGH S/BLC</t>
  </si>
  <si>
    <t>PIERRE HENRI S/BLC</t>
  </si>
  <si>
    <t>FONSECA BIN 27 PORTO</t>
  </si>
  <si>
    <t>MARK WEST CAL P/NOIR</t>
  </si>
  <si>
    <t>REKORDERLIG PASSIONFRUIT CN</t>
  </si>
  <si>
    <t xml:space="preserve">MILLER HIGH LIFE 30PK </t>
  </si>
  <si>
    <t>WM HILL NORTH COAST CAB</t>
  </si>
  <si>
    <t>GALLO FAMILY VYDS SWEET PINEAPPLE</t>
  </si>
  <si>
    <t xml:space="preserve">MILLER LITE 2/12 </t>
  </si>
  <si>
    <t>MICHELOB 2/12 LNNR</t>
  </si>
  <si>
    <t>JOSE CUERVO  SILVER TRAD</t>
  </si>
  <si>
    <t>HARPOON IPA 4/6 NR</t>
  </si>
  <si>
    <t>YUENGLING BLACK &amp; TAN 2/12 NR</t>
  </si>
  <si>
    <t>SANTINI SWEET MARSALA</t>
  </si>
  <si>
    <t>FLYING DOG GONZO IMP PORTER 4/6 NR</t>
  </si>
  <si>
    <t>FLYING DOG FAMILY DRAMA IMPERIAL PILSNER 4/6 NR</t>
  </si>
  <si>
    <t>BUD ICE 15/25OZ S</t>
  </si>
  <si>
    <t>COORS LIGHT 2/12</t>
  </si>
  <si>
    <t>OLD CROW BOURBON</t>
  </si>
  <si>
    <t xml:space="preserve">MODELO ESPECIAL 2/12 </t>
  </si>
  <si>
    <t>HIGHLAND PARK 12YR</t>
  </si>
  <si>
    <t xml:space="preserve">CORONA EXTRA 2/12 </t>
  </si>
  <si>
    <t>DOS EQUIS LAGER 4/6 NR</t>
  </si>
  <si>
    <t xml:space="preserve">MODELO ESPECIAL 4/6 </t>
  </si>
  <si>
    <t>MODELO ESPECIAL 4/6 NR</t>
  </si>
  <si>
    <t>SMITH &amp; HOOK CAB</t>
  </si>
  <si>
    <t>SMIRNOFF PARTY PACK 2/12 NR</t>
  </si>
  <si>
    <t xml:space="preserve">MILLER LITE 30PK </t>
  </si>
  <si>
    <t>BLACK BOX PINOT NOIR</t>
  </si>
  <si>
    <t>OLD GRAND DAD BOURBON</t>
  </si>
  <si>
    <t>SINGHA BEER 4/6 NR</t>
  </si>
  <si>
    <t>HEINEKEN LOOSE NR</t>
  </si>
  <si>
    <t>BRUNDLMAYER GRUN VELT TERR</t>
  </si>
  <si>
    <t>CORONA PREMIER 2/12PK</t>
  </si>
  <si>
    <t>CH LE CALVAIRE BORDEAUX SUPERIEUR</t>
  </si>
  <si>
    <t>DOMINION DI BELGIAN TRIPEL 4/6NR</t>
  </si>
  <si>
    <t>STELLA ARTOIS 4/6 NR</t>
  </si>
  <si>
    <t>WHITE CLAW VARIETY PACK 2/12PK</t>
  </si>
  <si>
    <t>YELLOW TAIL MERLOT</t>
  </si>
  <si>
    <t>MIKES CRAN LEMONADE 4/6 NR</t>
  </si>
  <si>
    <t>BOWMAN'S VODKA</t>
  </si>
  <si>
    <t>CIROC VODKA PINEAPPLE</t>
  </si>
  <si>
    <t>FLYING DOG THE TRUTH 4/6NR</t>
  </si>
  <si>
    <t>GUINNESS STOUT 2/12 NR</t>
  </si>
  <si>
    <t>MOLSON GOLDEN 2/12 LNNR</t>
  </si>
  <si>
    <t>BERINGER FOUNDERS EST CAB</t>
  </si>
  <si>
    <t>BOSCO R MONTPUL</t>
  </si>
  <si>
    <t>YUENGLING LAGER 2/12 NR</t>
  </si>
  <si>
    <t>ANNALISA P/GRIG</t>
  </si>
  <si>
    <t>ALAMOS MALBEC</t>
  </si>
  <si>
    <t>ALTO DEL CARMEN PISCO</t>
  </si>
  <si>
    <t>DOGFISH HEAD 60 MIN IPA 4/6 NR</t>
  </si>
  <si>
    <t>AUSTIN CIDER BLOOD ORANGE  4/6</t>
  </si>
  <si>
    <t>KENTUCKY GENTLEMAN</t>
  </si>
  <si>
    <t>MIKES HARD MANGO 4/6 NR</t>
  </si>
  <si>
    <t>EL TRACTOR MAL</t>
  </si>
  <si>
    <t>GUINNESS MILK STOUT 4/6PK</t>
  </si>
  <si>
    <t>MILLER LITE  HIGH GRAPHIC LOOSE NR</t>
  </si>
  <si>
    <t>RUMPLE MINZE SCHNAPPS 100</t>
  </si>
  <si>
    <t>CH PARADIS ROSE 17</t>
  </si>
  <si>
    <t>EVOLUTION LOT #3 IPA  4/6NR</t>
  </si>
  <si>
    <t>HEAVY SEAS LOOSE NON 4/6S</t>
  </si>
  <si>
    <t>OSKAR BLUES DALES PALE ALE 12.OZ 4/6</t>
  </si>
  <si>
    <t xml:space="preserve">COORS LT 30PK </t>
  </si>
  <si>
    <t>ATLAS DANCE OF DAYS 4/6</t>
  </si>
  <si>
    <t>BUD 15/25OZ S</t>
  </si>
  <si>
    <t>KNOB CREEK BOURBON 9YR 100P</t>
  </si>
  <si>
    <t>KIRALYUDVAR TOKAJI FURMINT SEC</t>
  </si>
  <si>
    <t>SANTA JULIA DULCE TINTO SWEET RED</t>
  </si>
  <si>
    <t>ROLLING ROCK 18PK NR</t>
  </si>
  <si>
    <t>SMIRNOFF ICE SMASH CHERRY LIME</t>
  </si>
  <si>
    <t>PRESIDENTIAL 10YR TAWNY PORT</t>
  </si>
  <si>
    <t>LENZ MOSER GRUN VELT</t>
  </si>
  <si>
    <t xml:space="preserve">HEINEKEN LIGHT 2/12 FP </t>
  </si>
  <si>
    <t>FLYING DOG PALE ALE NR</t>
  </si>
  <si>
    <t>ICEHOUSE EDGE S 12/CS</t>
  </si>
  <si>
    <t>YALUMBA Y SERIES VIOG</t>
  </si>
  <si>
    <t>CAPRICCIO WHITE SANGRI</t>
  </si>
  <si>
    <t>DON Q RUM CRISTAL</t>
  </si>
  <si>
    <t>DEKUYPER LUSCIOUS PEACHTREE</t>
  </si>
  <si>
    <t>STELLA ARTOIS 2/12 NR</t>
  </si>
  <si>
    <t>NAKED TURTLE WHITE RUM</t>
  </si>
  <si>
    <t>SMIRNOFF VODKA 100P</t>
  </si>
  <si>
    <t>AMSTEL LIGHT 4/6 NR</t>
  </si>
  <si>
    <t>CARLSBERG ELEPHANT 4/6 NR</t>
  </si>
  <si>
    <t>COORS LT 4/6 LNNR</t>
  </si>
  <si>
    <t xml:space="preserve">CORONA EXTRA 18PK </t>
  </si>
  <si>
    <t>BUD LIGHT 30PK</t>
  </si>
  <si>
    <t>BULLEIT RYE WHISKEY</t>
  </si>
  <si>
    <t>NATTY DADDY 15</t>
  </si>
  <si>
    <t>COPPER &amp; KINGS  BRANDY  &amp; OAK BARRELS</t>
  </si>
  <si>
    <t>FOLEY ESTATES P/NOIR</t>
  </si>
  <si>
    <t xml:space="preserve">MILLER LITE 18PK </t>
  </si>
  <si>
    <t>RITAS LIME A RITA 15/25OZ</t>
  </si>
  <si>
    <t>TAVERNELLO BIANCO</t>
  </si>
  <si>
    <t>CK MONDAVI CHARD</t>
  </si>
  <si>
    <t>BUD LIGHT 18PK</t>
  </si>
  <si>
    <t>HENNESSY BLACK</t>
  </si>
  <si>
    <t>BLUE MOON BELGIAN WHITE 2/15PK</t>
  </si>
  <si>
    <t xml:space="preserve">FOSTER LAGER 12/25.4OZ </t>
  </si>
  <si>
    <t>SAUZA HORNITOS PLATA</t>
  </si>
  <si>
    <t>STOLICHNAYA VODKA ORANGE</t>
  </si>
  <si>
    <t>BUD LIGHT 2/12</t>
  </si>
  <si>
    <t>MILWAUKEE BEST ICE S</t>
  </si>
  <si>
    <t>WOODBRIDGE RED BLEND GO PACK</t>
  </si>
  <si>
    <t>CAMBRIA JULIAS BENCHBREAK P/NOIR</t>
  </si>
  <si>
    <t>BLUE MOON BLGM WHTE ALE 2/12NR</t>
  </si>
  <si>
    <t>MILLER HIGH LIFE 18PK NR</t>
  </si>
  <si>
    <t>PRESIDENTE 4/6 NR</t>
  </si>
  <si>
    <t>CORONA EXTRA LOOSE NR</t>
  </si>
  <si>
    <t>ESPOLON BLANCO TEQ</t>
  </si>
  <si>
    <t>MIKES HARD LEMONADE VARIETY PACK 2/12PK</t>
  </si>
  <si>
    <t xml:space="preserve">SCHLITZ MALT 12/24OZ </t>
  </si>
  <si>
    <t>HEINEKEN LIGHT 2/12 NR</t>
  </si>
  <si>
    <t>GUINNESS DRAFT 4/6NR</t>
  </si>
  <si>
    <t>ARISTOCRAT RUM LIGHT</t>
  </si>
  <si>
    <t>FLYING FISH OCTOBERFISH 4/6NR</t>
  </si>
  <si>
    <t>WYCLIFF CAL BRUT CHAMP</t>
  </si>
  <si>
    <t>LUSTIG ZWEIGELT TROKEN</t>
  </si>
  <si>
    <t>BUD 2/12 LNNR</t>
  </si>
  <si>
    <t>BULLEIT BOURBON</t>
  </si>
  <si>
    <t>FLYING DOG SNAKE DOG 4/6 NR</t>
  </si>
  <si>
    <t>FRONT PORCH MER</t>
  </si>
  <si>
    <t>WM HILL CENTRAL COAST CAB</t>
  </si>
  <si>
    <t>RITAS CHERRY LIMEADE RITA 15</t>
  </si>
  <si>
    <t>BV CENTURY CELLARS MER</t>
  </si>
  <si>
    <t>GOOSE ISLAND IPA 2/15PK</t>
  </si>
  <si>
    <t>FLYING DOG NOTHING BUT A G THING HAZY PALE ALE 4/6</t>
  </si>
  <si>
    <t xml:space="preserve">MARTINI &amp; ROSSI SWEET VERMOUTH </t>
  </si>
  <si>
    <t>DC BRAU JOINT RESOLUTION 4/6 S</t>
  </si>
  <si>
    <t>JOHNNIE WALKER RED</t>
  </si>
  <si>
    <t>WOODBRIDGE MER 24/C</t>
  </si>
  <si>
    <t xml:space="preserve">BUD 18PK 16OZ </t>
  </si>
  <si>
    <t>LUJURIA MALB</t>
  </si>
  <si>
    <t>BAREFOOT CEL S/BLC</t>
  </si>
  <si>
    <t>HEINEKEN  SUITCASE S 24</t>
  </si>
  <si>
    <t xml:space="preserve">BUSCH LT 30PK </t>
  </si>
  <si>
    <t>AUSTIN HOPE CAB</t>
  </si>
  <si>
    <t>CHARLES SMITH VELVET DEVIL MER</t>
  </si>
  <si>
    <t>K JACKSON VINT RES CAB</t>
  </si>
  <si>
    <t>BOMBAY GIN</t>
  </si>
  <si>
    <t>1800 SILVER TEQUILA</t>
  </si>
  <si>
    <t>CORONA FAMILIAR 2/12PK</t>
  </si>
  <si>
    <t>PETER VELLA MOSCATO SANGRIA</t>
  </si>
  <si>
    <t xml:space="preserve">MILWAUKEE BEST 2/15PK </t>
  </si>
  <si>
    <t>GOOSE ISLAND IPA 4PK</t>
  </si>
  <si>
    <t>KALIBER BREW NA 4/6 NR</t>
  </si>
  <si>
    <t xml:space="preserve">MILLER GEN DRAFT 2/12 </t>
  </si>
  <si>
    <t>ANTINORI CHN CL RES</t>
  </si>
  <si>
    <t>BRUGAL RUM  ANEJO</t>
  </si>
  <si>
    <t>CIELO PINOT GRIG DEL VENETO</t>
  </si>
  <si>
    <t>ST PAULI GIRL NA 4/6 NR</t>
  </si>
  <si>
    <t>MODELO ESPECIAL S 12/CS</t>
  </si>
  <si>
    <t>FISH EYE CAB BIB</t>
  </si>
  <si>
    <t>WILD BASIN VARIETY PACK 2/12 S</t>
  </si>
  <si>
    <t>SAM ADAMS OCTOBERFEST 4/6 LN</t>
  </si>
  <si>
    <t>DEVILS BACKBONE EIGHT POINT IPA 4/6NR</t>
  </si>
  <si>
    <t>MASTER OF MIXES COCKTAIL ESS LIME JUICE</t>
  </si>
  <si>
    <t>NATIONAL BOHEMIAN 2/1</t>
  </si>
  <si>
    <t>CHATEAU LA TUILERIE DU PUY BORDEAUX</t>
  </si>
  <si>
    <t xml:space="preserve">TECATE 4/6 </t>
  </si>
  <si>
    <t>CUPCAKE CENTRAL COAST CHARD</t>
  </si>
  <si>
    <t>GRANT'S SCOTCH</t>
  </si>
  <si>
    <t>BUD LIGHT CHELADA S 15/CS</t>
  </si>
  <si>
    <t>BARON HERZOG CAB</t>
  </si>
  <si>
    <t>AUSTIN WATERMELON CIDER 4/6 S</t>
  </si>
  <si>
    <t>BUD LIGHT 15/25OZ S</t>
  </si>
  <si>
    <t>COORS LT 2/12 LNNR</t>
  </si>
  <si>
    <t>JOSE CUERVO GOLDEN MARGARITA</t>
  </si>
  <si>
    <t>SEAGRAM ORANGE/PINE BAHA MAMA 6/4NR</t>
  </si>
  <si>
    <t>MARQUES DE CACERES ORG RED RIOJA</t>
  </si>
  <si>
    <t>BELLA SERA P/GRIG</t>
  </si>
  <si>
    <t>RITAS WATER MELON RITA 8OZ 2/12 CN</t>
  </si>
  <si>
    <t>OMISSION LAGER 4/6 NR</t>
  </si>
  <si>
    <t>GUINNESS DRAFT 6/4 S</t>
  </si>
  <si>
    <t>KADABRA MENDOZA CAB</t>
  </si>
  <si>
    <t>JIM BEAM DOUBLE OAK BOURBON</t>
  </si>
  <si>
    <t>HOFBRAU DUNKEL 4/6NR</t>
  </si>
  <si>
    <t>MILLER LITE WIDEMOUTH ALUM 2/9 NR</t>
  </si>
  <si>
    <t>BRUGAL RUM ANEJO</t>
  </si>
  <si>
    <t>12OZ</t>
  </si>
  <si>
    <t>24OZ</t>
  </si>
  <si>
    <t>Cleanup</t>
  </si>
  <si>
    <t>Total
Cost</t>
  </si>
  <si>
    <t>Inventory</t>
  </si>
  <si>
    <t>Equipment</t>
  </si>
  <si>
    <t>Furniture &amp; Fixtures</t>
  </si>
  <si>
    <t>Monthly Payment</t>
  </si>
  <si>
    <t>Loan Amount</t>
  </si>
  <si>
    <t>Term (years)</t>
  </si>
  <si>
    <t>Interest Rate (annual)</t>
  </si>
  <si>
    <t>Interest Paid</t>
  </si>
  <si>
    <t>Investment Data Table</t>
  </si>
  <si>
    <t>Store Investment</t>
  </si>
  <si>
    <t>Years of Payment</t>
  </si>
  <si>
    <t>Interest Rates</t>
  </si>
  <si>
    <t>Investment Scenario</t>
  </si>
  <si>
    <t xml:space="preserve">Additional Investor </t>
  </si>
  <si>
    <t>Lottery Winner</t>
  </si>
  <si>
    <t>Term</t>
  </si>
  <si>
    <t>Interest</t>
  </si>
  <si>
    <t>3 - Interest rate is adjusted to 4%</t>
  </si>
  <si>
    <t>Equipment Low Prices</t>
  </si>
  <si>
    <t>2 - Loan term remains the same.</t>
  </si>
  <si>
    <t>2 - Loan term is 6 years.</t>
  </si>
  <si>
    <t>3 - Interest rate is stays the same.</t>
  </si>
  <si>
    <t>2 - Loan term is 4 years.</t>
  </si>
  <si>
    <t>Scenarios</t>
  </si>
  <si>
    <t>1 - Lottery payment of $85,000 (after tax), plus original $20,000 received and invested into equipment.</t>
  </si>
  <si>
    <t>Investments</t>
  </si>
  <si>
    <t>$D$4</t>
  </si>
  <si>
    <t>$D$6</t>
  </si>
  <si>
    <t>$D$9</t>
  </si>
  <si>
    <t>$D$8</t>
  </si>
  <si>
    <t>$D$5</t>
  </si>
  <si>
    <t>$D$11</t>
  </si>
  <si>
    <t>Investor</t>
  </si>
  <si>
    <t>Created by Shyam Parmar on 4/21/2021
Modified by Shyam Parmar on 4/21/2021</t>
  </si>
  <si>
    <t>Lottery</t>
  </si>
  <si>
    <t>Scenario Summary</t>
  </si>
  <si>
    <t>Changing Cells:</t>
  </si>
  <si>
    <t>Result Cells:</t>
  </si>
  <si>
    <t>Notes:  Current Values column represents values of changing cells at</t>
  </si>
  <si>
    <t>time Scenario Summary Report was created.  Changing cells for each</t>
  </si>
  <si>
    <t>scenario are highlighted in gray.</t>
  </si>
  <si>
    <t>3 - Interest rate is increased to 10%</t>
  </si>
  <si>
    <t>1 - Equipment prices decrease by $40,000 due to low prices.</t>
  </si>
  <si>
    <t>Low Prices</t>
  </si>
  <si>
    <t>Units Sold</t>
  </si>
  <si>
    <t>Unit Sale
 Price</t>
  </si>
  <si>
    <t>Units
Sold</t>
  </si>
  <si>
    <t>May</t>
  </si>
  <si>
    <t>Revenue
Per Unit</t>
  </si>
  <si>
    <t>Macros</t>
  </si>
  <si>
    <t>1 - Provided an additional $50,000 to distribute evenly between Inventory and Furnitures &amp; Fixtures.</t>
  </si>
  <si>
    <t>Month</t>
  </si>
  <si>
    <t xml:space="preserve">Sales </t>
  </si>
  <si>
    <t>Beer:</t>
  </si>
  <si>
    <t>Rum:</t>
  </si>
  <si>
    <t>Champagne:</t>
  </si>
  <si>
    <t>Liquer:</t>
  </si>
  <si>
    <t>Vodka:</t>
  </si>
  <si>
    <t>Gin:</t>
  </si>
  <si>
    <t>Whiskey:</t>
  </si>
  <si>
    <t>Wine:</t>
  </si>
  <si>
    <t>Cognac:</t>
  </si>
  <si>
    <t>Brandy:</t>
  </si>
  <si>
    <t>Product</t>
  </si>
  <si>
    <t>Product Price</t>
  </si>
  <si>
    <t>Product Revenue</t>
  </si>
  <si>
    <t>Inventory Data</t>
  </si>
  <si>
    <t>Amount of
Different Products</t>
  </si>
  <si>
    <t>Ave. Price/
Product Category</t>
  </si>
  <si>
    <t>Total Revenue/
Product Category</t>
  </si>
  <si>
    <t>January</t>
  </si>
  <si>
    <t>February</t>
  </si>
  <si>
    <t>March</t>
  </si>
  <si>
    <t>April</t>
  </si>
  <si>
    <t>June</t>
  </si>
  <si>
    <t>July</t>
  </si>
  <si>
    <t>August</t>
  </si>
  <si>
    <t>September</t>
  </si>
  <si>
    <t>October</t>
  </si>
  <si>
    <t>November</t>
  </si>
  <si>
    <t>December</t>
  </si>
  <si>
    <t>Store Location</t>
  </si>
  <si>
    <t>Tampa</t>
  </si>
  <si>
    <t>St. Pete</t>
  </si>
  <si>
    <t>HEINEKEN LOOSE NR - 12OZ</t>
  </si>
  <si>
    <t>Amount of Each
Products Sold</t>
  </si>
  <si>
    <t>Percentage</t>
  </si>
  <si>
    <t>Total:</t>
  </si>
  <si>
    <t>Orlando</t>
  </si>
  <si>
    <t xml:space="preserve">Sum of Sales </t>
  </si>
  <si>
    <t>Average Price</t>
  </si>
  <si>
    <t>Values</t>
  </si>
  <si>
    <t>Location Sales</t>
  </si>
  <si>
    <t>Ordered Date</t>
  </si>
  <si>
    <t>Customer</t>
  </si>
  <si>
    <t>Units</t>
  </si>
  <si>
    <t>Total</t>
  </si>
  <si>
    <t>Existing</t>
  </si>
  <si>
    <t>New</t>
  </si>
  <si>
    <t>Grand Total</t>
  </si>
  <si>
    <t>(All)</t>
  </si>
  <si>
    <t xml:space="preserve">Monthly Sales </t>
  </si>
  <si>
    <t xml:space="preserve">Quater 1 </t>
  </si>
  <si>
    <t>Quater 2</t>
  </si>
  <si>
    <t>Quater 3</t>
  </si>
  <si>
    <t>Quater 4</t>
  </si>
  <si>
    <t>Payroll Budget</t>
  </si>
  <si>
    <t>Job Type</t>
  </si>
  <si>
    <t>Hours Worked
(Weekly)</t>
  </si>
  <si>
    <t>Wage Rate</t>
  </si>
  <si>
    <t>Total Pay</t>
  </si>
  <si>
    <t>Days Worked 
(Rounded)</t>
  </si>
  <si>
    <t>Employee 1</t>
  </si>
  <si>
    <t>Employee 2</t>
  </si>
  <si>
    <t>Employee 3</t>
  </si>
  <si>
    <t>Percent of
Total</t>
  </si>
  <si>
    <t>Manager</t>
  </si>
  <si>
    <t>Supervisor</t>
  </si>
  <si>
    <t>Store
Location</t>
  </si>
  <si>
    <t>Event Orders</t>
  </si>
  <si>
    <t>Wages
Budget</t>
  </si>
  <si>
    <t>Budget
Met?</t>
  </si>
  <si>
    <t>Sum of Total</t>
  </si>
  <si>
    <t>2018</t>
  </si>
  <si>
    <t>Qtr1</t>
  </si>
  <si>
    <t>Qtr2</t>
  </si>
  <si>
    <t>Qtr3</t>
  </si>
  <si>
    <t>Qtr4</t>
  </si>
  <si>
    <t>2019</t>
  </si>
  <si>
    <t>2020</t>
  </si>
  <si>
    <t>2021</t>
  </si>
  <si>
    <t>Customer Type</t>
  </si>
  <si>
    <t>Date</t>
  </si>
  <si>
    <t>Rewards Member Orders</t>
  </si>
  <si>
    <t>Members Orders</t>
  </si>
  <si>
    <t>First</t>
  </si>
  <si>
    <t>First:</t>
  </si>
  <si>
    <t>Last:</t>
  </si>
  <si>
    <t>First Name:</t>
  </si>
  <si>
    <t>Last Name:</t>
  </si>
  <si>
    <t>Phone Number:</t>
  </si>
  <si>
    <t>Product:</t>
  </si>
  <si>
    <t>Quantity:</t>
  </si>
  <si>
    <t>Customer Type:</t>
  </si>
  <si>
    <t>Price:</t>
  </si>
  <si>
    <t>Total Price:</t>
  </si>
  <si>
    <t>WIP</t>
  </si>
  <si>
    <t>Quantity</t>
  </si>
  <si>
    <t>Product Selected</t>
  </si>
  <si>
    <t>Tax</t>
  </si>
  <si>
    <t>Price</t>
  </si>
  <si>
    <t>New Customer Discount:</t>
  </si>
  <si>
    <t>Tax:</t>
  </si>
  <si>
    <t>Last</t>
  </si>
  <si>
    <t>Total Price</t>
  </si>
  <si>
    <t>New Customer Disc:</t>
  </si>
  <si>
    <t>Tax Amount:</t>
  </si>
  <si>
    <t>Discount Amount:</t>
  </si>
  <si>
    <t>Price Before Disc:</t>
  </si>
  <si>
    <t>Records</t>
  </si>
  <si>
    <t>Phone</t>
  </si>
  <si>
    <t>Price Before Tax</t>
  </si>
  <si>
    <t>Cust. Discount</t>
  </si>
  <si>
    <t>Discount Amt</t>
  </si>
  <si>
    <t>Orders</t>
  </si>
  <si>
    <t>Adjustments</t>
  </si>
  <si>
    <t>Rewards Member Records</t>
  </si>
  <si>
    <t>Build Record</t>
  </si>
  <si>
    <t>Legend</t>
  </si>
  <si>
    <t>Created by Shyam Parmar on 4/21/2021
Modified by Shyam Parmar on 4/21/2021
Modified by Shyam Parmar on 4/25/2021</t>
  </si>
  <si>
    <t>750ML</t>
  </si>
  <si>
    <t>5L</t>
  </si>
  <si>
    <t>16OZ</t>
  </si>
  <si>
    <t>1.5L</t>
  </si>
  <si>
    <t>1.75L</t>
  </si>
  <si>
    <t>200ML</t>
  </si>
  <si>
    <t>1L</t>
  </si>
  <si>
    <t>11OZ</t>
  </si>
  <si>
    <t>2OZ</t>
  </si>
  <si>
    <t>11.2OZ</t>
  </si>
  <si>
    <t>10OZ</t>
  </si>
  <si>
    <t>12.OZ</t>
  </si>
  <si>
    <t>500ML</t>
  </si>
  <si>
    <t>12.0Z</t>
  </si>
  <si>
    <t>24oz</t>
  </si>
  <si>
    <t>3L</t>
  </si>
  <si>
    <t>12 OZ</t>
  </si>
  <si>
    <t>36OZ</t>
  </si>
  <si>
    <t>48OZ</t>
  </si>
  <si>
    <t>25OZ</t>
  </si>
  <si>
    <t>23.5 OZ</t>
  </si>
  <si>
    <t>25.4OZ</t>
  </si>
  <si>
    <t>LITER</t>
  </si>
  <si>
    <t>187ML</t>
  </si>
  <si>
    <t>375ML</t>
  </si>
  <si>
    <t>355ML</t>
  </si>
  <si>
    <t>14.9OZ</t>
  </si>
  <si>
    <t>Current Values</t>
  </si>
  <si>
    <t>Units In Stock &amp; Sold</t>
  </si>
  <si>
    <t>Price &amp; Revenue</t>
  </si>
  <si>
    <t>Project Information</t>
  </si>
  <si>
    <t>COGS</t>
  </si>
  <si>
    <t>Profit</t>
  </si>
  <si>
    <t>Inventory Analysis (Statistics)</t>
  </si>
  <si>
    <t>Shyam</t>
  </si>
  <si>
    <t>Parmar</t>
  </si>
  <si>
    <t>Documentation</t>
  </si>
  <si>
    <t>Worksheet Name</t>
  </si>
  <si>
    <t>Cells</t>
  </si>
  <si>
    <t xml:space="preserve">Description </t>
  </si>
  <si>
    <t>N/A</t>
  </si>
  <si>
    <t>Added tab colors to all worksheets.</t>
  </si>
  <si>
    <t>Project Info</t>
  </si>
  <si>
    <t>Added a customized gradient fill in a text box, with a border.</t>
  </si>
  <si>
    <t xml:space="preserve">Added a picture inside a textbox and formatted it to crop, show reflection and shadow. </t>
  </si>
  <si>
    <t>B2</t>
  </si>
  <si>
    <t>Added a header with custom font color, custom fill color and custom border style &amp; color.</t>
  </si>
  <si>
    <t>E12</t>
  </si>
  <si>
    <t>Used =PMT() function to calculate monthly payment for liquor store investment.</t>
  </si>
  <si>
    <t>E11</t>
  </si>
  <si>
    <t>Used =ABS((CUMIPMT()) function to determine the Interest Paid Amount and have the results be positive.</t>
  </si>
  <si>
    <t>K12</t>
  </si>
  <si>
    <t>Performed Goal-Seek to determine my Inventory amount when Monthly Payment is $5,000. Higlighted affected cells color blue.</t>
  </si>
  <si>
    <t>F4 – V24</t>
  </si>
  <si>
    <t>Created a data table for the Store Investment Monthly Payment.</t>
  </si>
  <si>
    <t>Inserted Conditional Formatting to the Data Table to highlight all cells that are Less Than the monthly payment amount of $6,991.</t>
  </si>
  <si>
    <t>B14</t>
  </si>
  <si>
    <t>Added a legend to illustrate what the data table conditional formatting means. As well as added a Concatenate formula to update the values of monthly payment.</t>
  </si>
  <si>
    <t xml:space="preserve">Used Scenario Manager and adjusted certain values based on the scenarios. </t>
  </si>
  <si>
    <t>Created a Scenario Summary Worksheet</t>
  </si>
  <si>
    <t>Created a customized column graph of the scenario summary.</t>
  </si>
  <si>
    <t>Product Cleanup</t>
  </si>
  <si>
    <t>D5 –D403</t>
  </si>
  <si>
    <t xml:space="preserve">Used =LEFT() function to get the product number alone from the data. </t>
  </si>
  <si>
    <t>E5 –E403</t>
  </si>
  <si>
    <t>Used =MID() function to get the product name only.</t>
  </si>
  <si>
    <t>F5 –F403</t>
  </si>
  <si>
    <t>Used =TRIM(RIGHT()) function to get the product size only.</t>
  </si>
  <si>
    <t>H5 – H403</t>
  </si>
  <si>
    <t>Used =FIND() function to find the hyphen that will be used in the =MID() function.</t>
  </si>
  <si>
    <t>I5 – I403</t>
  </si>
  <si>
    <t>Used =LEN() function to get the length of the cell and will be used with the =RIGHT() function.</t>
  </si>
  <si>
    <t>G5 –G403</t>
  </si>
  <si>
    <t>Used =RANDBETWEEN() formula to randomize numbers between 100 and 500 for Quantity Purchased. Then copy pasted values to stop randomization.</t>
  </si>
  <si>
    <t>H5 –H403</t>
  </si>
  <si>
    <t>Used =RANDBETWEEN() formula to randomize numbers between $1 and $150 for quantity. Then copy pasted values to stop randomization.</t>
  </si>
  <si>
    <t>J5 – J403</t>
  </si>
  <si>
    <t>Used =ROUND() function combined with simple multiplication and addition to get the Unit Sale Price rounded to end with .99 cents.</t>
  </si>
  <si>
    <t>K5 – K403</t>
  </si>
  <si>
    <t>Used =RANDBETWEEN() function to generate a random number between 100 and cell: E5. This is because E5 shows Quantity Purchased and that cannot exceed in terms of Units Sold, therefore that is the maximum.</t>
  </si>
  <si>
    <t>Row 23</t>
  </si>
  <si>
    <t>Added a freeze pane</t>
  </si>
  <si>
    <t>Added a conditional format rule that compares the value selected (1.75L) and highlights the entire row where those values are found.</t>
  </si>
  <si>
    <t>B5</t>
  </si>
  <si>
    <t>Added a macro button called ‘Statistics’. This macro takes the user to another worksheet called ‘Inventory Analysis’ that shows all the analysis of the inventory.</t>
  </si>
  <si>
    <t>B8</t>
  </si>
  <si>
    <t>Added a macro that calculates totals of certain columns. This total is then added to the bottom of the data, adds a top border to illustrate Total and adds the value in the cells.</t>
  </si>
  <si>
    <t>B10</t>
  </si>
  <si>
    <t>Added a macro that changes the font color of a selection. This is a relative macro.</t>
  </si>
  <si>
    <t>B13</t>
  </si>
  <si>
    <t xml:space="preserve">Added a macro that allows the user to toggle between adding and turning off strikethrough from a selection of cells. This is a relative macro. </t>
  </si>
  <si>
    <t>B16</t>
  </si>
  <si>
    <t>Added a macro that allows the user to fill the cell with a color and also remove the fill from a selection using the same macro button. This is a relative macro.</t>
  </si>
  <si>
    <t>B18</t>
  </si>
  <si>
    <t>Added a macro that takes the user to the bottom of the data.</t>
  </si>
  <si>
    <t>Inventory Analysis</t>
  </si>
  <si>
    <t xml:space="preserve">D7 – D16 </t>
  </si>
  <si>
    <t>Used a =COUNTIF() formula to count each of the product categories. This is to see the number of each products I have.</t>
  </si>
  <si>
    <t xml:space="preserve">Inventory Analysis </t>
  </si>
  <si>
    <t>D23 – D32</t>
  </si>
  <si>
    <t>Used a =AVERAGEIF() formula to get the average of each product category.</t>
  </si>
  <si>
    <t>C23 – C32</t>
  </si>
  <si>
    <t>Used a simple calculation to get the percentage of each average price.</t>
  </si>
  <si>
    <t>N7 – N16</t>
  </si>
  <si>
    <t>Used a =SUMIF() formula to get the sum of each unit sold.</t>
  </si>
  <si>
    <t>N12 – N32</t>
  </si>
  <si>
    <t>Used a =SUMIF() formula to get the total revenue by each product.</t>
  </si>
  <si>
    <t>Created four charts for each calculation on the analysis worksheet to visualize the data.</t>
  </si>
  <si>
    <t>B4 – E4</t>
  </si>
  <si>
    <t>Added a filter to the headings so the user can easily filter the data.</t>
  </si>
  <si>
    <t>D5 – D40 &amp; E5 – E40</t>
  </si>
  <si>
    <t>Created data using =RANDBETWEEN to show some Sales and Units Sold for each Store Location.</t>
  </si>
  <si>
    <t xml:space="preserve">Created a line graph to illustrate Sales pattern between the three Store Locations. Added a data table in the chart and also added markers to the lines. </t>
  </si>
  <si>
    <t>G4</t>
  </si>
  <si>
    <t>Created a pivot table using Store Location as column, Sum of Sales as Values and Month as rows. Also adjusted the Pivot Table Style Design.</t>
  </si>
  <si>
    <t>Columns I, K, M</t>
  </si>
  <si>
    <t>Created a Calculated Field called Average Price. This was done by using the Sales / Units Sold.</t>
  </si>
  <si>
    <t>Rows 10, 14, 18, 22</t>
  </si>
  <si>
    <t>Created Calculated Items called Qtr. 1, 2 3, 4. This was done by adding the values for each monthly quarters.</t>
  </si>
  <si>
    <t>O4</t>
  </si>
  <si>
    <t xml:space="preserve">Added slicers for the pivot table. The slicers are for Month and Store Location. </t>
  </si>
  <si>
    <t>Adjusted the pivot table 1 design to show No Grand Totals for Rows and Columns.</t>
  </si>
  <si>
    <t>Adjusted the pivot table design 1, Report Layout to show in Tabular Form.</t>
  </si>
  <si>
    <t>Adjusted the pivot table design 1, Subtotals to display at the Top of the Group.</t>
  </si>
  <si>
    <t>Adjusted the pivot table design 1, Blank Rows to Insert Line After Each Item.</t>
  </si>
  <si>
    <t>G25</t>
  </si>
  <si>
    <t>Added a second pivot table to show months and total sales from all three Store Locations. Used Sum of Sales as values, Months as Rows and Store Location as Filter. Also adjusted the Pivot Table Style Design.</t>
  </si>
  <si>
    <t>Adjusted the pivot table 2 design to show Grand Total for Columns Only.</t>
  </si>
  <si>
    <t>Adjusted the pivot table design 2, Report Layout to show in Outline Form.</t>
  </si>
  <si>
    <t>Adjusted the pivot table design 2, Subtotals to display at the Top of the Group.</t>
  </si>
  <si>
    <t>Adjusted the pivot table design 2, Blank Rows to Insert Line After Each Item.</t>
  </si>
  <si>
    <t>Created a column customized graph for the second pivot table that contains a filter for Store Locations. This can help the user filter through each Store Location.</t>
  </si>
  <si>
    <t>B7 – H23</t>
  </si>
  <si>
    <t xml:space="preserve">Created a table and formatted it to a specific Table Style. </t>
  </si>
  <si>
    <t>F8 – H23</t>
  </si>
  <si>
    <t xml:space="preserve">Performed simple calculations for each column (Total Pay, Percent of Total, Days Worked (Rounded), Totals for each column). </t>
  </si>
  <si>
    <t xml:space="preserve">B25 </t>
  </si>
  <si>
    <t>Added a textbox to write the information that shows the constraints for the Solver.</t>
  </si>
  <si>
    <t>C5</t>
  </si>
  <si>
    <t>G8 – G22</t>
  </si>
  <si>
    <t xml:space="preserve">Entered conditional formatting using data bars for the Percent of Total column. This can easily illustrate which employee is paid the most. </t>
  </si>
  <si>
    <t>C8</t>
  </si>
  <si>
    <t>Changed the cell format to custom format type (###-###-####).</t>
  </si>
  <si>
    <t>Added a custom Data Validation to ensure the user inserts 10 digits that are numeric. Invalid input gives an error message.</t>
  </si>
  <si>
    <t>C9</t>
  </si>
  <si>
    <t xml:space="preserve">Added the =TODAY() formula to automatically use today’s date. </t>
  </si>
  <si>
    <t>C11</t>
  </si>
  <si>
    <t>Inserted a Combo Box. Via Format Control, had input range from WIP worksheet entered as the name range “WIPproducts” (WIP - C8:C17). Inserted Cell Link to B5 in WIP worksheet.</t>
  </si>
  <si>
    <t>C14</t>
  </si>
  <si>
    <t>C17</t>
  </si>
  <si>
    <t>Inserted a Checkbox for existing or new customers. Checkbox is linked to Cell D5 in the WIP worksheet.</t>
  </si>
  <si>
    <t>C20</t>
  </si>
  <si>
    <t>Referenced cell to WIP worksheet cell H12.</t>
  </si>
  <si>
    <t>C22</t>
  </si>
  <si>
    <t>Used formula =IF() formula to determine whether customer is new or existing. This will give new customers a 10% discount.</t>
  </si>
  <si>
    <t>Inserted Data Validation with a custom error message. Data validation is to ensure the user enter a percentage between 0 and 100.</t>
  </si>
  <si>
    <t>C23</t>
  </si>
  <si>
    <t>Referenced cell to WIP worksheet to cell H14</t>
  </si>
  <si>
    <t>C24</t>
  </si>
  <si>
    <t>Referenced cell to WIP worksheet to cell H15.</t>
  </si>
  <si>
    <t>C25</t>
  </si>
  <si>
    <t>Referenced cell to WIP worksheet to cell H17.</t>
  </si>
  <si>
    <t>C27</t>
  </si>
  <si>
    <t>Created a macro button that copies information from the WIP worksheet, and pastes the values to the top of the table in the Rewards Member Records worksheet.</t>
  </si>
  <si>
    <t>Locked the worksheet to keep users from entering data where they are not supposed to. Cells that are left unlocked for the user to input data are C6, C7, C8, C9, and C22.</t>
  </si>
  <si>
    <t>H5 – H8</t>
  </si>
  <si>
    <t>Referenced cells to appropriate cells from the Rewards Member Orders worksheet.</t>
  </si>
  <si>
    <t>H9</t>
  </si>
  <si>
    <t>Used =VLOOKUP() formula to get product name instead of a number.</t>
  </si>
  <si>
    <t>H10</t>
  </si>
  <si>
    <t>Referenced cell to quantity cell link.</t>
  </si>
  <si>
    <t>H11</t>
  </si>
  <si>
    <t>Used =IF() function to determine whether condition results to either New or Existing.</t>
  </si>
  <si>
    <t xml:space="preserve">WIP </t>
  </si>
  <si>
    <t>H12</t>
  </si>
  <si>
    <t>Used a =VLOOKUP() function to determine the price of the product selected by the user.</t>
  </si>
  <si>
    <t>H13</t>
  </si>
  <si>
    <t>Referenced this cell to cell C22 in the Rewards Member Orders worksheet.</t>
  </si>
  <si>
    <t>J6 – U6</t>
  </si>
  <si>
    <t>Referenced these cells from the Build Record table in the WIP worksheet. This is formatted in the way that can be copy-pasted easily.</t>
  </si>
  <si>
    <t>O2</t>
  </si>
  <si>
    <t>Crated a macro button and recorded a macro that takes the user back to Rewards Member Order worksheet with all the inputs reset back to default.</t>
  </si>
  <si>
    <t>H4</t>
  </si>
  <si>
    <t>Added a pivot table to show sales of each Product that is purchased by which Customer Type.</t>
  </si>
  <si>
    <t>H18</t>
  </si>
  <si>
    <t>Inserted a Timeline for the created pivot table and adjusted the timeline to show by Quarters.</t>
  </si>
  <si>
    <t>M4</t>
  </si>
  <si>
    <t xml:space="preserve">Inserted a second pivot table and grouped the data by Months, Quarters, and Years. </t>
  </si>
  <si>
    <t>Adjusted the pivot table design to change to the table style design and also added to show Subtotals at the Top of the Group.</t>
  </si>
  <si>
    <t>Recorded macros for each scenario and attached them to specific buttons. Also created a macro to return to original investment scenario.</t>
  </si>
  <si>
    <t>Q12</t>
  </si>
  <si>
    <t>Performed Goal-Seek to determine my Monthly Payment if my Interest Paid is $20,000. Highlighted affected cell to blue.</t>
  </si>
  <si>
    <t>W12</t>
  </si>
  <si>
    <t>Performed Goal-Seek to determine the Term (years) when Monthly Payment is $5,000. Highlighted affected cell to blue.</t>
  </si>
  <si>
    <t>Created a pie chart for initial Monthly Payment calculation for cell: E12.</t>
  </si>
  <si>
    <t>Chart illustrates Interest Paid and Loan Amount.</t>
  </si>
  <si>
    <t>Created a pie chart for Goal-Seek results for cell: K12. Chart illustrates Interest Paid and Loan Amount.</t>
  </si>
  <si>
    <t>Created a pie chart for Goal-Seek results for cell: Q12. Chart illustrates Interest Paid and Loan Amount.</t>
  </si>
  <si>
    <t>Created a pie chart for Goal-Seek results for cell: W12. Chart illustrates Interest Paid and Loan Amount.</t>
  </si>
  <si>
    <t>Scenario 1 – Investor.</t>
  </si>
  <si>
    <t>Scenario 2 – Low Prices.</t>
  </si>
  <si>
    <r>
      <t xml:space="preserve">Performed the Solver method to determine the MINIMUM amount to pay each employee based on certain constraints. The payroll budget was $5,000. </t>
    </r>
    <r>
      <rPr>
        <sz val="12"/>
        <color rgb="FFFF0000"/>
        <rFont val="Times New Roman"/>
        <family val="1"/>
      </rPr>
      <t>NOTE**</t>
    </r>
    <r>
      <rPr>
        <sz val="12"/>
        <color theme="1"/>
        <rFont val="Times New Roman"/>
        <family val="1"/>
      </rPr>
      <t xml:space="preserve"> to re-run the solver, be sure to sort the “Job Type” in the table by A-Z (ascending). Then run the Solver.</t>
    </r>
  </si>
  <si>
    <t>Created a conditional formatting table to insert a Cell Fill to a specific color, based on whether the condition is true or not. Highlight Green if budget is less than $5,000. Highlight Red if budget is more than $5,000.</t>
  </si>
  <si>
    <t>Inserted a data validation for the user to enter a date between dates 1/1/2018 and 12/31/2038. Invalid input shows an error message.</t>
  </si>
  <si>
    <t>Inserted a Group Box. Within the Group Box, inserted 5 Radio Buttons. Radio Buttons cell link is to WIP worksheet, cell C5.</t>
  </si>
  <si>
    <t>Screenshot (if necessary)</t>
  </si>
  <si>
    <t>Scenario 3 – Lottery</t>
  </si>
  <si>
    <t>Product Information</t>
  </si>
  <si>
    <t>Financial Information</t>
  </si>
  <si>
    <r>
      <t xml:space="preserve">Customer Type:
</t>
    </r>
    <r>
      <rPr>
        <sz val="10"/>
        <color theme="1"/>
        <rFont val="Calibri"/>
        <family val="2"/>
        <scheme val="minor"/>
      </rPr>
      <t>(existing or new)</t>
    </r>
  </si>
  <si>
    <r>
      <t xml:space="preserve">Product:
</t>
    </r>
    <r>
      <rPr>
        <sz val="10"/>
        <color theme="1"/>
        <rFont val="Calibri"/>
        <family val="2"/>
        <scheme val="minor"/>
      </rPr>
      <t>(select one)</t>
    </r>
  </si>
  <si>
    <r>
      <t xml:space="preserve">Quantity:
</t>
    </r>
    <r>
      <rPr>
        <sz val="10"/>
        <color theme="1"/>
        <rFont val="Calibri"/>
        <family val="2"/>
        <scheme val="minor"/>
      </rPr>
      <t>(select one)</t>
    </r>
  </si>
  <si>
    <r>
      <t xml:space="preserve">Price:
</t>
    </r>
    <r>
      <rPr>
        <sz val="10"/>
        <color theme="1"/>
        <rFont val="Calibri"/>
        <family val="2"/>
        <scheme val="minor"/>
      </rPr>
      <t>(before tax)</t>
    </r>
  </si>
  <si>
    <t>Date:</t>
  </si>
  <si>
    <t>Customer Information</t>
  </si>
  <si>
    <t>Customer Reviews</t>
  </si>
  <si>
    <t xml:space="preserve">Ratings </t>
  </si>
  <si>
    <t>Comments</t>
  </si>
  <si>
    <t>Very Poor</t>
  </si>
  <si>
    <t>Poor</t>
  </si>
  <si>
    <t>Average</t>
  </si>
  <si>
    <t>Good</t>
  </si>
  <si>
    <t>Excellent</t>
  </si>
  <si>
    <t>L</t>
  </si>
  <si>
    <t>K</t>
  </si>
  <si>
    <t>J</t>
  </si>
  <si>
    <t>Great service</t>
  </si>
  <si>
    <t>Did not carry the product I wanted</t>
  </si>
  <si>
    <t>Friendly staff</t>
  </si>
  <si>
    <t>Closed on a Sunday</t>
  </si>
  <si>
    <t>Ratings Score:</t>
  </si>
  <si>
    <t>Shyam Parmar</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</si>
</sst>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8" formatCode="&quot;$&quot;#,##0.00_);[Red]\(&quot;$&quot;#,##0.00\)"/>
    <numFmt numFmtId="44" formatCode="_(&quot;$&quot;* #,##0.00_);_(&quot;$&quot;* \(#,##0.00\);_(&quot;$&quot;* &quot;-&quot;??_);_(@_)"/>
    <numFmt numFmtId="43" formatCode="_(* #,##0.00_);_(* \(#,##0.00\);_(* &quot;-&quot;??_);_(@_)"/>
    <numFmt numFmtId="164" formatCode="&quot;$&quot;#,##0.00"/>
    <numFmt numFmtId="165" formatCode="0.0%"/>
    <numFmt numFmtId="166" formatCode="_(&quot;$&quot;* #,##0_);_(&quot;$&quot;* \(#,##0\);_(&quot;$&quot;* &quot;-&quot;??_);_(@_)"/>
    <numFmt numFmtId="167" formatCode="0.0"/>
    <numFmt numFmtId="168" formatCode="&quot;$&quot;#,##0"/>
    <numFmt numFmtId="169" formatCode="###\-###\-####"/>
  </numFmts>
  <fonts count="31" x14ac:knownFonts="1">
    <font>
      <sz val="11"/>
      <color theme="1"/>
      <name val="Calibri"/>
      <family val="2"/>
      <scheme val="minor"/>
    </font>
    <font>
      <b/>
      <sz val="11"/>
      <color theme="1"/>
      <name val="Calibri"/>
      <family val="2"/>
      <scheme val="minor"/>
    </font>
    <font>
      <b/>
      <sz val="18"/>
      <color theme="7" tint="0.39997558519241921"/>
      <name val="Calibri"/>
      <family val="2"/>
      <scheme val="minor"/>
    </font>
    <font>
      <sz val="11"/>
      <color theme="1"/>
      <name val="Calibri"/>
      <family val="2"/>
      <scheme val="minor"/>
    </font>
    <font>
      <sz val="11"/>
      <name val="Calibri"/>
      <family val="2"/>
      <scheme val="minor"/>
    </font>
    <font>
      <sz val="11"/>
      <color theme="7" tint="0.39997558519241921"/>
      <name val="Calibri"/>
      <family val="2"/>
      <scheme val="minor"/>
    </font>
    <font>
      <sz val="12"/>
      <color theme="1"/>
      <name val="Calibri"/>
      <family val="2"/>
      <scheme val="minor"/>
    </font>
    <font>
      <b/>
      <sz val="12"/>
      <color theme="1"/>
      <name val="Calibri"/>
      <family val="2"/>
      <scheme val="minor"/>
    </font>
    <font>
      <b/>
      <sz val="12"/>
      <color theme="0"/>
      <name val="Calibri"/>
      <family val="2"/>
      <scheme val="minor"/>
    </font>
    <font>
      <sz val="10"/>
      <color indexed="9"/>
      <name val="Calibri"/>
      <family val="2"/>
      <scheme val="minor"/>
    </font>
    <font>
      <sz val="8"/>
      <color theme="1"/>
      <name val="Calibri"/>
      <family val="2"/>
      <scheme val="minor"/>
    </font>
    <font>
      <b/>
      <sz val="11"/>
      <name val="Calibri"/>
      <family val="2"/>
      <scheme val="minor"/>
    </font>
    <font>
      <sz val="12"/>
      <name val="Calibri"/>
      <family val="2"/>
      <scheme val="minor"/>
    </font>
    <font>
      <sz val="10"/>
      <color theme="1"/>
      <name val="Calibri"/>
      <family val="2"/>
      <scheme val="minor"/>
    </font>
    <font>
      <sz val="8"/>
      <color rgb="FF000000"/>
      <name val="Segoe UI"/>
      <family val="2"/>
    </font>
    <font>
      <sz val="11"/>
      <color theme="0" tint="-0.14999847407452621"/>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b/>
      <sz val="12"/>
      <color theme="7" tint="0.39997558519241921"/>
      <name val="Calibri"/>
      <family val="2"/>
      <scheme val="minor"/>
    </font>
    <font>
      <sz val="12"/>
      <color theme="1"/>
      <name val="Times New Roman"/>
      <family val="1"/>
    </font>
    <font>
      <sz val="11"/>
      <color theme="1"/>
      <name val="Times New Roman"/>
      <family val="1"/>
    </font>
    <font>
      <sz val="11"/>
      <color rgb="FF000000"/>
      <name val="Calibri"/>
      <family val="2"/>
      <scheme val="minor"/>
    </font>
    <font>
      <b/>
      <sz val="11"/>
      <color theme="7" tint="0.39997558519241921"/>
      <name val="Calibri"/>
      <family val="2"/>
      <scheme val="minor"/>
    </font>
    <font>
      <sz val="12"/>
      <color rgb="FFFF0000"/>
      <name val="Times New Roman"/>
      <family val="1"/>
    </font>
    <font>
      <b/>
      <sz val="14"/>
      <name val="Times New Roman"/>
      <family val="1"/>
    </font>
    <font>
      <b/>
      <sz val="16"/>
      <color theme="7" tint="0.39997558519241921"/>
      <name val="Calibri"/>
      <family val="2"/>
      <scheme val="minor"/>
    </font>
    <font>
      <sz val="11"/>
      <color theme="1"/>
      <name val="Wingdings"/>
      <charset val="2"/>
    </font>
    <font>
      <sz val="11"/>
      <color theme="0"/>
      <name val="Calibri"/>
      <family val="2"/>
      <scheme val="minor"/>
    </font>
    <font>
      <sz val="11"/>
      <color theme="0"/>
      <name val="Wingdings"/>
      <charset val="2"/>
    </font>
    <font>
      <b/>
      <sz val="12"/>
      <color theme="0"/>
      <name val="Wingdings"/>
      <charset val="2"/>
    </font>
  </fonts>
  <fills count="18">
    <fill>
      <patternFill patternType="none"/>
    </fill>
    <fill>
      <patternFill patternType="gray125"/>
    </fill>
    <fill>
      <patternFill patternType="solid">
        <fgColor theme="0" tint="-0.49998474074526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0" tint="-0.34998626667073579"/>
        <bgColor indexed="64"/>
      </patternFill>
    </fill>
    <fill>
      <patternFill patternType="solid">
        <fgColor indexed="22"/>
        <bgColor indexed="24"/>
      </patternFill>
    </fill>
    <fill>
      <patternFill patternType="solid">
        <fgColor indexed="22"/>
        <bgColor indexed="7"/>
      </patternFill>
    </fill>
    <fill>
      <patternFill patternType="solid">
        <fgColor theme="4" tint="-0.499984740745262"/>
        <bgColor indexed="24"/>
      </patternFill>
    </fill>
    <fill>
      <patternFill patternType="solid">
        <fgColor theme="0"/>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8" tint="-0.499984740745262"/>
        <bgColor indexed="64"/>
      </patternFill>
    </fill>
    <fill>
      <patternFill patternType="solid">
        <fgColor theme="4" tint="0.79998168889431442"/>
        <bgColor indexed="64"/>
      </patternFill>
    </fill>
  </fills>
  <borders count="46">
    <border>
      <left/>
      <right/>
      <top/>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dashed">
        <color theme="7"/>
      </left>
      <right/>
      <top style="dashed">
        <color theme="7"/>
      </top>
      <bottom style="dashed">
        <color theme="7"/>
      </bottom>
      <diagonal/>
    </border>
    <border>
      <left/>
      <right/>
      <top style="dashed">
        <color theme="7"/>
      </top>
      <bottom style="dashed">
        <color theme="7"/>
      </bottom>
      <diagonal/>
    </border>
    <border>
      <left/>
      <right style="dashed">
        <color theme="7"/>
      </right>
      <top style="dashed">
        <color theme="7"/>
      </top>
      <bottom style="dashed">
        <color theme="7"/>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4">
    <xf numFmtId="0" fontId="0" fillId="0" borderId="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cellStyleXfs>
  <cellXfs count="345">
    <xf numFmtId="0" fontId="0" fillId="0" borderId="0" xfId="0"/>
    <xf numFmtId="0" fontId="0" fillId="0" borderId="0" xfId="0" applyFont="1"/>
    <xf numFmtId="0" fontId="0" fillId="0" borderId="0" xfId="0" applyAlignment="1">
      <alignment wrapText="1"/>
    </xf>
    <xf numFmtId="164" fontId="0" fillId="0" borderId="0" xfId="0" applyNumberFormat="1"/>
    <xf numFmtId="0" fontId="0" fillId="0" borderId="0" xfId="0" applyNumberFormat="1"/>
    <xf numFmtId="0" fontId="1" fillId="0" borderId="0" xfId="0" applyFont="1" applyAlignment="1">
      <alignment horizontal="center" wrapText="1"/>
    </xf>
    <xf numFmtId="0" fontId="1" fillId="0" borderId="0" xfId="0" applyFont="1" applyAlignment="1">
      <alignment horizontal="center"/>
    </xf>
    <xf numFmtId="0" fontId="1" fillId="0" borderId="0" xfId="0" applyFont="1" applyAlignment="1">
      <alignment wrapText="1"/>
    </xf>
    <xf numFmtId="0" fontId="0" fillId="0" borderId="0" xfId="0" applyBorder="1"/>
    <xf numFmtId="0" fontId="0" fillId="0" borderId="2" xfId="0" applyBorder="1"/>
    <xf numFmtId="0" fontId="0" fillId="0" borderId="0" xfId="0" applyFill="1" applyBorder="1"/>
    <xf numFmtId="164" fontId="0" fillId="0" borderId="0" xfId="0" applyNumberFormat="1" applyBorder="1"/>
    <xf numFmtId="0" fontId="0" fillId="0" borderId="0" xfId="0" applyAlignment="1">
      <alignment horizontal="center"/>
    </xf>
    <xf numFmtId="0" fontId="0" fillId="5" borderId="3" xfId="0" applyFill="1" applyBorder="1"/>
    <xf numFmtId="0" fontId="0" fillId="5" borderId="1" xfId="0" applyFill="1" applyBorder="1"/>
    <xf numFmtId="0" fontId="0" fillId="5" borderId="4" xfId="0" applyFill="1" applyBorder="1"/>
    <xf numFmtId="0" fontId="0" fillId="5" borderId="5" xfId="0" applyFill="1" applyBorder="1"/>
    <xf numFmtId="0" fontId="0" fillId="5" borderId="0" xfId="0" applyFill="1" applyBorder="1"/>
    <xf numFmtId="0" fontId="0" fillId="5" borderId="6" xfId="0" applyFill="1" applyBorder="1"/>
    <xf numFmtId="8" fontId="0" fillId="5" borderId="0" xfId="0" applyNumberFormat="1" applyFill="1" applyBorder="1"/>
    <xf numFmtId="44" fontId="0" fillId="5" borderId="0" xfId="0" applyNumberFormat="1" applyFill="1" applyBorder="1"/>
    <xf numFmtId="0" fontId="0" fillId="5" borderId="7" xfId="0" applyFill="1" applyBorder="1"/>
    <xf numFmtId="0" fontId="0" fillId="5" borderId="2" xfId="0" applyFill="1" applyBorder="1"/>
    <xf numFmtId="0" fontId="0" fillId="5" borderId="8" xfId="0" applyFill="1" applyBorder="1"/>
    <xf numFmtId="0" fontId="6" fillId="5" borderId="13" xfId="0" applyFont="1" applyFill="1" applyBorder="1"/>
    <xf numFmtId="0" fontId="6" fillId="5" borderId="14" xfId="0" applyFont="1" applyFill="1" applyBorder="1"/>
    <xf numFmtId="164" fontId="6" fillId="5" borderId="15" xfId="0" applyNumberFormat="1" applyFont="1" applyFill="1" applyBorder="1"/>
    <xf numFmtId="164" fontId="6" fillId="5" borderId="6" xfId="0" applyNumberFormat="1" applyFont="1" applyFill="1" applyBorder="1"/>
    <xf numFmtId="164" fontId="6" fillId="0" borderId="0" xfId="0" applyNumberFormat="1" applyFont="1" applyFill="1" applyBorder="1"/>
    <xf numFmtId="0" fontId="6" fillId="5" borderId="5" xfId="0" applyFont="1" applyFill="1" applyBorder="1"/>
    <xf numFmtId="164" fontId="6" fillId="0" borderId="0" xfId="0" applyNumberFormat="1" applyFont="1" applyBorder="1"/>
    <xf numFmtId="0" fontId="6" fillId="5" borderId="16" xfId="0" applyFont="1" applyFill="1" applyBorder="1"/>
    <xf numFmtId="0" fontId="6" fillId="5" borderId="0" xfId="0" applyFont="1" applyFill="1" applyBorder="1"/>
    <xf numFmtId="164" fontId="6" fillId="5" borderId="17" xfId="0" applyNumberFormat="1" applyFont="1" applyFill="1" applyBorder="1"/>
    <xf numFmtId="165" fontId="6" fillId="5" borderId="17" xfId="0" applyNumberFormat="1" applyFont="1" applyFill="1" applyBorder="1"/>
    <xf numFmtId="165" fontId="6" fillId="5" borderId="6" xfId="0" applyNumberFormat="1" applyFont="1" applyFill="1" applyBorder="1"/>
    <xf numFmtId="165" fontId="6" fillId="0" borderId="0" xfId="0" applyNumberFormat="1" applyFont="1" applyFill="1" applyBorder="1"/>
    <xf numFmtId="165" fontId="6" fillId="0" borderId="0" xfId="0" applyNumberFormat="1" applyFont="1" applyBorder="1"/>
    <xf numFmtId="3" fontId="6" fillId="5" borderId="17" xfId="0" applyNumberFormat="1" applyFont="1" applyFill="1" applyBorder="1"/>
    <xf numFmtId="3" fontId="6" fillId="5" borderId="6" xfId="0" applyNumberFormat="1" applyFont="1" applyFill="1" applyBorder="1"/>
    <xf numFmtId="3" fontId="6" fillId="0" borderId="0" xfId="0" applyNumberFormat="1" applyFont="1" applyFill="1" applyBorder="1"/>
    <xf numFmtId="0" fontId="6" fillId="5" borderId="18" xfId="0" applyFont="1" applyFill="1" applyBorder="1"/>
    <xf numFmtId="0" fontId="6" fillId="5" borderId="19" xfId="0" applyFont="1" applyFill="1" applyBorder="1"/>
    <xf numFmtId="8" fontId="6" fillId="7" borderId="20" xfId="0" applyNumberFormat="1" applyFont="1" applyFill="1" applyBorder="1" applyAlignment="1">
      <alignment horizontal="right"/>
    </xf>
    <xf numFmtId="8" fontId="6" fillId="5" borderId="6" xfId="0" applyNumberFormat="1" applyFont="1" applyFill="1" applyBorder="1" applyAlignment="1">
      <alignment horizontal="right"/>
    </xf>
    <xf numFmtId="8" fontId="6" fillId="0" borderId="0" xfId="0" applyNumberFormat="1" applyFont="1" applyFill="1" applyBorder="1" applyAlignment="1">
      <alignment horizontal="right"/>
    </xf>
    <xf numFmtId="0" fontId="0" fillId="5" borderId="3" xfId="0" applyFont="1" applyFill="1" applyBorder="1"/>
    <xf numFmtId="0" fontId="0" fillId="5" borderId="1" xfId="0" applyFont="1" applyFill="1" applyBorder="1"/>
    <xf numFmtId="164" fontId="0" fillId="5" borderId="4" xfId="0" applyNumberFormat="1" applyFont="1" applyFill="1" applyBorder="1"/>
    <xf numFmtId="0" fontId="0" fillId="5" borderId="5" xfId="0" applyFont="1" applyFill="1" applyBorder="1"/>
    <xf numFmtId="0" fontId="0" fillId="5" borderId="0" xfId="0" applyFont="1" applyFill="1" applyBorder="1"/>
    <xf numFmtId="164" fontId="0" fillId="5" borderId="6" xfId="0" applyNumberFormat="1" applyFont="1" applyFill="1" applyBorder="1"/>
    <xf numFmtId="165" fontId="0" fillId="5" borderId="6" xfId="0" applyNumberFormat="1" applyFont="1" applyFill="1" applyBorder="1"/>
    <xf numFmtId="3" fontId="0" fillId="5" borderId="6" xfId="0" applyNumberFormat="1" applyFont="1" applyFill="1" applyBorder="1"/>
    <xf numFmtId="0" fontId="0" fillId="5" borderId="7" xfId="0" applyFont="1" applyFill="1" applyBorder="1"/>
    <xf numFmtId="0" fontId="0" fillId="5" borderId="2" xfId="0" applyFont="1" applyFill="1" applyBorder="1"/>
    <xf numFmtId="165" fontId="0" fillId="4" borderId="0" xfId="0" applyNumberFormat="1" applyFill="1"/>
    <xf numFmtId="166" fontId="0" fillId="0" borderId="0" xfId="1" applyNumberFormat="1" applyFont="1" applyAlignment="1">
      <alignment horizontal="center"/>
    </xf>
    <xf numFmtId="166" fontId="0" fillId="0" borderId="0" xfId="1" applyNumberFormat="1" applyFont="1" applyBorder="1" applyAlignment="1">
      <alignment horizontal="center"/>
    </xf>
    <xf numFmtId="0" fontId="0" fillId="4" borderId="0" xfId="0" applyFill="1" applyAlignment="1">
      <alignment horizontal="center"/>
    </xf>
    <xf numFmtId="8" fontId="0" fillId="8" borderId="8" xfId="0" applyNumberFormat="1" applyFont="1" applyFill="1" applyBorder="1" applyAlignment="1">
      <alignment horizontal="right"/>
    </xf>
    <xf numFmtId="0" fontId="0" fillId="5" borderId="12" xfId="0" applyFill="1" applyBorder="1" applyAlignment="1">
      <alignment horizontal="left" vertical="center" wrapText="1"/>
    </xf>
    <xf numFmtId="0" fontId="0" fillId="5" borderId="0" xfId="0" applyFont="1" applyFill="1" applyBorder="1" applyAlignment="1">
      <alignment vertical="center"/>
    </xf>
    <xf numFmtId="0" fontId="0" fillId="5" borderId="13" xfId="0" applyFont="1" applyFill="1" applyBorder="1" applyAlignment="1">
      <alignment vertical="center"/>
    </xf>
    <xf numFmtId="0" fontId="0" fillId="5" borderId="14" xfId="0" applyFont="1" applyFill="1" applyBorder="1" applyAlignment="1">
      <alignment vertical="center"/>
    </xf>
    <xf numFmtId="164" fontId="0" fillId="5" borderId="15" xfId="0" applyNumberFormat="1" applyFont="1" applyFill="1" applyBorder="1" applyAlignment="1">
      <alignment vertical="center"/>
    </xf>
    <xf numFmtId="0" fontId="0" fillId="5" borderId="16" xfId="0" applyFont="1" applyFill="1" applyBorder="1" applyAlignment="1">
      <alignment vertical="center"/>
    </xf>
    <xf numFmtId="164" fontId="0" fillId="5" borderId="17" xfId="0" applyNumberFormat="1" applyFont="1" applyFill="1" applyBorder="1" applyAlignment="1">
      <alignment vertical="center"/>
    </xf>
    <xf numFmtId="165" fontId="0" fillId="5" borderId="17" xfId="0" applyNumberFormat="1" applyFont="1" applyFill="1" applyBorder="1" applyAlignment="1">
      <alignment vertical="center"/>
    </xf>
    <xf numFmtId="3" fontId="0" fillId="5" borderId="17" xfId="0" applyNumberFormat="1" applyFont="1" applyFill="1" applyBorder="1" applyAlignment="1">
      <alignment vertical="center"/>
    </xf>
    <xf numFmtId="0" fontId="0" fillId="5" borderId="18" xfId="0" applyFont="1" applyFill="1" applyBorder="1" applyAlignment="1">
      <alignment vertical="center"/>
    </xf>
    <xf numFmtId="0" fontId="0" fillId="5" borderId="19" xfId="0" applyFont="1" applyFill="1" applyBorder="1" applyAlignment="1">
      <alignment vertical="center"/>
    </xf>
    <xf numFmtId="8" fontId="0" fillId="8" borderId="20" xfId="0" applyNumberFormat="1" applyFont="1" applyFill="1" applyBorder="1" applyAlignment="1">
      <alignment horizontal="right" vertical="center"/>
    </xf>
    <xf numFmtId="0" fontId="1" fillId="4" borderId="12" xfId="0" applyFont="1" applyFill="1" applyBorder="1" applyAlignment="1">
      <alignment horizontal="center"/>
    </xf>
    <xf numFmtId="0" fontId="1" fillId="4" borderId="12" xfId="0" applyFont="1" applyFill="1" applyBorder="1" applyAlignment="1">
      <alignment horizontal="center" vertical="center"/>
    </xf>
    <xf numFmtId="0" fontId="0" fillId="0" borderId="0" xfId="0" applyFill="1" applyBorder="1" applyAlignment="1"/>
    <xf numFmtId="164" fontId="0" fillId="0" borderId="0" xfId="0" applyNumberFormat="1" applyFill="1" applyBorder="1" applyAlignment="1"/>
    <xf numFmtId="3" fontId="0" fillId="0" borderId="0" xfId="0" applyNumberFormat="1" applyFill="1" applyBorder="1" applyAlignment="1"/>
    <xf numFmtId="165" fontId="0" fillId="0" borderId="0" xfId="0" applyNumberFormat="1" applyFill="1" applyBorder="1" applyAlignment="1"/>
    <xf numFmtId="8" fontId="0" fillId="0" borderId="2" xfId="0" applyNumberFormat="1" applyFill="1" applyBorder="1" applyAlignment="1"/>
    <xf numFmtId="0" fontId="0" fillId="0" borderId="21" xfId="0" applyFill="1" applyBorder="1" applyAlignment="1"/>
    <xf numFmtId="164" fontId="0" fillId="11" borderId="0" xfId="0" applyNumberFormat="1" applyFill="1" applyBorder="1" applyAlignment="1"/>
    <xf numFmtId="3" fontId="0" fillId="11" borderId="0" xfId="0" applyNumberFormat="1" applyFill="1" applyBorder="1" applyAlignment="1"/>
    <xf numFmtId="165" fontId="0" fillId="11" borderId="0" xfId="0" applyNumberFormat="1" applyFill="1" applyBorder="1" applyAlignment="1"/>
    <xf numFmtId="0" fontId="10" fillId="0" borderId="0" xfId="0" applyFont="1" applyFill="1" applyBorder="1" applyAlignment="1">
      <alignment vertical="top" wrapText="1"/>
    </xf>
    <xf numFmtId="0" fontId="9" fillId="12" borderId="1" xfId="0" applyFont="1" applyFill="1" applyBorder="1" applyAlignment="1">
      <alignment horizontal="right"/>
    </xf>
    <xf numFmtId="0" fontId="9" fillId="12" borderId="19" xfId="0" applyFont="1" applyFill="1" applyBorder="1" applyAlignment="1">
      <alignment horizontal="right"/>
    </xf>
    <xf numFmtId="167" fontId="0" fillId="0" borderId="0" xfId="0" applyNumberFormat="1"/>
    <xf numFmtId="0" fontId="0" fillId="0" borderId="0" xfId="0" applyNumberFormat="1" applyAlignment="1">
      <alignment horizontal="center"/>
    </xf>
    <xf numFmtId="0" fontId="1" fillId="0" borderId="0" xfId="0" applyFont="1" applyAlignment="1">
      <alignment horizontal="center" vertical="center"/>
    </xf>
    <xf numFmtId="1" fontId="0" fillId="0" borderId="0" xfId="0" applyNumberFormat="1"/>
    <xf numFmtId="1" fontId="0" fillId="0" borderId="0" xfId="0" applyNumberFormat="1" applyAlignment="1">
      <alignment horizontal="center"/>
    </xf>
    <xf numFmtId="9" fontId="0" fillId="0" borderId="0" xfId="3" applyFont="1" applyAlignment="1">
      <alignment horizontal="center"/>
    </xf>
    <xf numFmtId="0" fontId="5" fillId="9" borderId="0" xfId="0" applyFont="1" applyFill="1"/>
    <xf numFmtId="0" fontId="4" fillId="0" borderId="0" xfId="0" applyFont="1" applyFill="1"/>
    <xf numFmtId="0" fontId="1" fillId="0" borderId="0" xfId="0" applyFont="1" applyBorder="1" applyAlignment="1"/>
    <xf numFmtId="0" fontId="8" fillId="0" borderId="0" xfId="0" applyFont="1" applyFill="1" applyAlignment="1">
      <alignment vertical="center"/>
    </xf>
    <xf numFmtId="0" fontId="2" fillId="0" borderId="0" xfId="0" applyFont="1" applyFill="1" applyBorder="1" applyAlignment="1"/>
    <xf numFmtId="0" fontId="7" fillId="0" borderId="0" xfId="0" applyFont="1" applyFill="1" applyBorder="1" applyAlignment="1">
      <alignment vertical="center"/>
    </xf>
    <xf numFmtId="0" fontId="1" fillId="4" borderId="18" xfId="0" applyFont="1" applyFill="1" applyBorder="1" applyAlignment="1">
      <alignment horizontal="center" wrapText="1"/>
    </xf>
    <xf numFmtId="0" fontId="1" fillId="4" borderId="20" xfId="0" applyFont="1" applyFill="1" applyBorder="1" applyAlignment="1">
      <alignment horizontal="center" wrapText="1"/>
    </xf>
    <xf numFmtId="0" fontId="1" fillId="4" borderId="19" xfId="0" applyFont="1" applyFill="1" applyBorder="1" applyAlignment="1">
      <alignment horizontal="center" wrapText="1"/>
    </xf>
    <xf numFmtId="0" fontId="1" fillId="4" borderId="20" xfId="0" applyFont="1" applyFill="1" applyBorder="1"/>
    <xf numFmtId="0" fontId="0" fillId="5" borderId="17" xfId="0" applyFill="1" applyBorder="1" applyAlignment="1">
      <alignment horizontal="center"/>
    </xf>
    <xf numFmtId="0" fontId="0" fillId="5" borderId="2" xfId="0" applyFill="1" applyBorder="1" applyAlignment="1">
      <alignment horizontal="center"/>
    </xf>
    <xf numFmtId="164" fontId="0" fillId="5" borderId="0" xfId="0" applyNumberFormat="1" applyFill="1" applyBorder="1" applyAlignment="1">
      <alignment horizontal="center"/>
    </xf>
    <xf numFmtId="164" fontId="0" fillId="5" borderId="0" xfId="2" applyNumberFormat="1" applyFont="1" applyFill="1" applyBorder="1" applyAlignment="1">
      <alignment horizontal="center"/>
    </xf>
    <xf numFmtId="0" fontId="0" fillId="5" borderId="16" xfId="0" applyFill="1" applyBorder="1" applyAlignment="1">
      <alignment horizontal="right"/>
    </xf>
    <xf numFmtId="1" fontId="0" fillId="0" borderId="0" xfId="0" applyNumberFormat="1" applyAlignment="1">
      <alignment horizontal="left"/>
    </xf>
    <xf numFmtId="0" fontId="0" fillId="0" borderId="13" xfId="0" applyBorder="1"/>
    <xf numFmtId="1" fontId="0" fillId="0" borderId="14" xfId="0" applyNumberFormat="1" applyBorder="1" applyAlignment="1">
      <alignment horizontal="center"/>
    </xf>
    <xf numFmtId="0" fontId="0" fillId="0" borderId="16" xfId="0" applyBorder="1"/>
    <xf numFmtId="1" fontId="0" fillId="0" borderId="0" xfId="0" applyNumberFormat="1" applyBorder="1" applyAlignment="1">
      <alignment horizontal="center"/>
    </xf>
    <xf numFmtId="1" fontId="0" fillId="0" borderId="16" xfId="0" applyNumberFormat="1" applyBorder="1" applyAlignment="1">
      <alignment horizontal="left"/>
    </xf>
    <xf numFmtId="1" fontId="0" fillId="0" borderId="18" xfId="0" applyNumberFormat="1" applyBorder="1" applyAlignment="1">
      <alignment horizontal="left"/>
    </xf>
    <xf numFmtId="1" fontId="0" fillId="0" borderId="19" xfId="0" applyNumberFormat="1" applyBorder="1" applyAlignment="1">
      <alignment horizontal="center"/>
    </xf>
    <xf numFmtId="0" fontId="0" fillId="4" borderId="25" xfId="0" applyFill="1" applyBorder="1"/>
    <xf numFmtId="168" fontId="0" fillId="0" borderId="14" xfId="0" applyNumberFormat="1" applyBorder="1" applyAlignment="1">
      <alignment horizontal="center"/>
    </xf>
    <xf numFmtId="168" fontId="0" fillId="0" borderId="0" xfId="0" applyNumberFormat="1" applyBorder="1" applyAlignment="1">
      <alignment horizontal="center"/>
    </xf>
    <xf numFmtId="168" fontId="0" fillId="0" borderId="17" xfId="0" applyNumberFormat="1" applyBorder="1" applyAlignment="1">
      <alignment horizontal="center"/>
    </xf>
    <xf numFmtId="168" fontId="1" fillId="0" borderId="0" xfId="0" applyNumberFormat="1" applyFont="1" applyBorder="1" applyAlignment="1">
      <alignment horizontal="center"/>
    </xf>
    <xf numFmtId="168" fontId="1" fillId="0" borderId="17" xfId="0" applyNumberFormat="1" applyFont="1" applyBorder="1" applyAlignment="1">
      <alignment horizontal="center"/>
    </xf>
    <xf numFmtId="168" fontId="1" fillId="0" borderId="19" xfId="0" applyNumberFormat="1" applyFont="1" applyBorder="1" applyAlignment="1">
      <alignment horizontal="center"/>
    </xf>
    <xf numFmtId="168" fontId="1" fillId="0" borderId="20" xfId="0" applyNumberFormat="1" applyFont="1" applyBorder="1" applyAlignment="1">
      <alignment horizontal="center"/>
    </xf>
    <xf numFmtId="0" fontId="0" fillId="4" borderId="25" xfId="0" applyFill="1" applyBorder="1" applyAlignment="1">
      <alignment horizontal="center"/>
    </xf>
    <xf numFmtId="0" fontId="0" fillId="4" borderId="26" xfId="0" applyFill="1" applyBorder="1" applyAlignment="1">
      <alignment horizontal="center"/>
    </xf>
    <xf numFmtId="0" fontId="0" fillId="4" borderId="21" xfId="0" applyFill="1" applyBorder="1" applyAlignment="1">
      <alignment horizontal="center"/>
    </xf>
    <xf numFmtId="0" fontId="0" fillId="4" borderId="12" xfId="0" applyFill="1" applyBorder="1" applyAlignment="1">
      <alignment horizontal="center"/>
    </xf>
    <xf numFmtId="0" fontId="0" fillId="5" borderId="25" xfId="0" applyFill="1" applyBorder="1" applyAlignment="1">
      <alignment horizontal="center" wrapText="1"/>
    </xf>
    <xf numFmtId="0" fontId="0" fillId="5" borderId="26" xfId="0" applyFill="1" applyBorder="1" applyAlignment="1">
      <alignment horizontal="center" wrapText="1"/>
    </xf>
    <xf numFmtId="0" fontId="0" fillId="5" borderId="18" xfId="0" applyFill="1" applyBorder="1" applyAlignment="1">
      <alignment horizontal="left"/>
    </xf>
    <xf numFmtId="0" fontId="4" fillId="0" borderId="0" xfId="0" pivotButton="1" applyFont="1"/>
    <xf numFmtId="0" fontId="0" fillId="0" borderId="28" xfId="0" applyBorder="1"/>
    <xf numFmtId="0" fontId="1" fillId="0" borderId="28" xfId="0" applyFont="1" applyBorder="1"/>
    <xf numFmtId="0" fontId="1" fillId="0" borderId="27" xfId="0" applyFont="1" applyBorder="1"/>
    <xf numFmtId="168" fontId="0" fillId="0" borderId="16" xfId="0" applyNumberFormat="1" applyBorder="1" applyAlignment="1">
      <alignment horizontal="center"/>
    </xf>
    <xf numFmtId="168" fontId="1" fillId="0" borderId="16" xfId="0" applyNumberFormat="1" applyFont="1" applyBorder="1" applyAlignment="1">
      <alignment horizontal="center"/>
    </xf>
    <xf numFmtId="168" fontId="1" fillId="0" borderId="18" xfId="0" applyNumberFormat="1" applyFont="1" applyBorder="1" applyAlignment="1">
      <alignment horizontal="center"/>
    </xf>
    <xf numFmtId="9" fontId="0" fillId="0" borderId="0" xfId="3" applyFont="1" applyBorder="1" applyAlignment="1">
      <alignment horizontal="center"/>
    </xf>
    <xf numFmtId="1" fontId="0" fillId="5" borderId="3" xfId="0" applyNumberFormat="1" applyFill="1" applyBorder="1" applyAlignment="1">
      <alignment horizontal="center"/>
    </xf>
    <xf numFmtId="1" fontId="0" fillId="5" borderId="1" xfId="0" applyNumberFormat="1" applyFill="1" applyBorder="1" applyAlignment="1">
      <alignment horizontal="center"/>
    </xf>
    <xf numFmtId="1" fontId="0" fillId="5" borderId="5" xfId="0" applyNumberFormat="1" applyFill="1" applyBorder="1" applyAlignment="1">
      <alignment horizontal="center"/>
    </xf>
    <xf numFmtId="1" fontId="0" fillId="5" borderId="0" xfId="0" applyNumberFormat="1" applyFill="1" applyBorder="1" applyAlignment="1">
      <alignment horizontal="center"/>
    </xf>
    <xf numFmtId="1" fontId="0" fillId="5" borderId="7" xfId="0" applyNumberFormat="1" applyFill="1" applyBorder="1" applyAlignment="1">
      <alignment horizontal="center"/>
    </xf>
    <xf numFmtId="1" fontId="0" fillId="5" borderId="2" xfId="0" applyNumberFormat="1" applyFill="1" applyBorder="1" applyAlignment="1">
      <alignment horizontal="center"/>
    </xf>
    <xf numFmtId="168" fontId="0" fillId="0" borderId="19" xfId="1" applyNumberFormat="1" applyFont="1" applyBorder="1" applyAlignment="1">
      <alignment horizontal="center"/>
    </xf>
    <xf numFmtId="9" fontId="0" fillId="5" borderId="1" xfId="3" applyFont="1" applyFill="1" applyBorder="1" applyAlignment="1">
      <alignment horizontal="center"/>
    </xf>
    <xf numFmtId="9" fontId="0" fillId="5" borderId="4" xfId="3" applyFont="1" applyFill="1" applyBorder="1" applyAlignment="1">
      <alignment horizontal="center"/>
    </xf>
    <xf numFmtId="9" fontId="0" fillId="5" borderId="0" xfId="3" applyFont="1" applyFill="1" applyBorder="1" applyAlignment="1">
      <alignment horizontal="center"/>
    </xf>
    <xf numFmtId="9" fontId="0" fillId="5" borderId="6" xfId="3" applyFont="1" applyFill="1" applyBorder="1" applyAlignment="1">
      <alignment horizontal="center"/>
    </xf>
    <xf numFmtId="9" fontId="0" fillId="5" borderId="2" xfId="3" applyFont="1" applyFill="1" applyBorder="1" applyAlignment="1">
      <alignment horizontal="center"/>
    </xf>
    <xf numFmtId="9" fontId="0" fillId="5" borderId="8" xfId="3" applyFont="1" applyFill="1" applyBorder="1" applyAlignment="1">
      <alignment horizontal="center"/>
    </xf>
    <xf numFmtId="0" fontId="12" fillId="0" borderId="0" xfId="0" pivotButton="1" applyFont="1" applyBorder="1"/>
    <xf numFmtId="14" fontId="0" fillId="0" borderId="0" xfId="0" applyNumberFormat="1"/>
    <xf numFmtId="164" fontId="0" fillId="0" borderId="0" xfId="0" applyNumberFormat="1" applyAlignment="1">
      <alignment horizontal="center"/>
    </xf>
    <xf numFmtId="0" fontId="0" fillId="3" borderId="0" xfId="0" applyFill="1" applyAlignment="1">
      <alignment horizontal="right"/>
    </xf>
    <xf numFmtId="0" fontId="0" fillId="3" borderId="0" xfId="0" applyFill="1" applyAlignment="1">
      <alignment horizontal="left"/>
    </xf>
    <xf numFmtId="0" fontId="0" fillId="3" borderId="0" xfId="0" applyFill="1" applyAlignment="1">
      <alignment horizontal="center"/>
    </xf>
    <xf numFmtId="0" fontId="0" fillId="0" borderId="0" xfId="0" pivotButton="1"/>
    <xf numFmtId="1" fontId="0" fillId="0" borderId="0" xfId="0" applyNumberFormat="1" applyFill="1" applyBorder="1" applyAlignment="1">
      <alignment horizontal="center"/>
    </xf>
    <xf numFmtId="0" fontId="0" fillId="4" borderId="0" xfId="0" applyFill="1"/>
    <xf numFmtId="168" fontId="0" fillId="0" borderId="0" xfId="0" applyNumberFormat="1" applyAlignment="1">
      <alignment horizontal="center"/>
    </xf>
    <xf numFmtId="168" fontId="0" fillId="4" borderId="0" xfId="0" applyNumberFormat="1" applyFill="1" applyAlignment="1">
      <alignment horizontal="center"/>
    </xf>
    <xf numFmtId="0" fontId="1" fillId="0" borderId="0" xfId="0" applyFont="1" applyBorder="1" applyAlignment="1">
      <alignment wrapText="1"/>
    </xf>
    <xf numFmtId="0" fontId="1" fillId="0" borderId="0" xfId="0" applyFont="1" applyBorder="1"/>
    <xf numFmtId="0" fontId="1" fillId="0" borderId="0" xfId="0" applyFont="1" applyBorder="1" applyAlignment="1">
      <alignment horizontal="center" wrapText="1"/>
    </xf>
    <xf numFmtId="0" fontId="0" fillId="0" borderId="0" xfId="0" applyBorder="1" applyAlignment="1">
      <alignment horizontal="center"/>
    </xf>
    <xf numFmtId="164" fontId="0" fillId="0" borderId="0" xfId="2" applyNumberFormat="1" applyFont="1" applyBorder="1" applyAlignment="1">
      <alignment horizontal="center"/>
    </xf>
    <xf numFmtId="165" fontId="0" fillId="0" borderId="0" xfId="3" applyNumberFormat="1" applyFont="1" applyBorder="1" applyAlignment="1">
      <alignment horizontal="center"/>
    </xf>
    <xf numFmtId="0" fontId="0" fillId="4" borderId="3" xfId="0" applyFill="1" applyBorder="1"/>
    <xf numFmtId="0" fontId="0" fillId="4" borderId="1" xfId="0" applyFill="1" applyBorder="1"/>
    <xf numFmtId="0" fontId="0" fillId="4" borderId="4" xfId="0" applyFill="1" applyBorder="1"/>
    <xf numFmtId="0" fontId="0" fillId="4" borderId="5" xfId="0" applyFill="1" applyBorder="1"/>
    <xf numFmtId="0" fontId="0" fillId="4" borderId="0" xfId="0" applyFill="1" applyBorder="1"/>
    <xf numFmtId="0" fontId="0" fillId="4" borderId="6" xfId="0" applyFill="1" applyBorder="1"/>
    <xf numFmtId="0" fontId="0" fillId="4" borderId="7" xfId="0" applyFill="1" applyBorder="1"/>
    <xf numFmtId="0" fontId="0" fillId="4" borderId="2" xfId="0" applyFill="1" applyBorder="1"/>
    <xf numFmtId="0" fontId="0" fillId="4" borderId="8" xfId="0" applyFill="1" applyBorder="1"/>
    <xf numFmtId="0" fontId="1" fillId="0" borderId="14" xfId="0" applyFont="1" applyBorder="1"/>
    <xf numFmtId="1" fontId="1" fillId="0" borderId="14" xfId="0" applyNumberFormat="1" applyFont="1" applyBorder="1" applyAlignment="1">
      <alignment horizontal="center"/>
    </xf>
    <xf numFmtId="164" fontId="1" fillId="0" borderId="14" xfId="0" applyNumberFormat="1" applyFont="1" applyBorder="1" applyAlignment="1">
      <alignment horizontal="center"/>
    </xf>
    <xf numFmtId="9" fontId="1" fillId="0" borderId="14" xfId="3" applyFont="1" applyBorder="1" applyAlignment="1">
      <alignment horizontal="center"/>
    </xf>
    <xf numFmtId="0" fontId="0" fillId="0" borderId="14" xfId="0" applyBorder="1"/>
    <xf numFmtId="0" fontId="0" fillId="0" borderId="14" xfId="0" applyBorder="1" applyAlignment="1">
      <alignment horizontal="center"/>
    </xf>
    <xf numFmtId="8" fontId="0" fillId="5" borderId="7" xfId="0" applyNumberFormat="1" applyFill="1" applyBorder="1" applyAlignment="1">
      <alignment horizontal="center"/>
    </xf>
    <xf numFmtId="164" fontId="0" fillId="5" borderId="29" xfId="0" applyNumberFormat="1" applyFill="1" applyBorder="1" applyAlignment="1">
      <alignment horizontal="center"/>
    </xf>
    <xf numFmtId="0" fontId="6" fillId="4" borderId="30" xfId="0" applyFont="1" applyFill="1" applyBorder="1" applyAlignment="1">
      <alignment horizontal="center" wrapText="1"/>
    </xf>
    <xf numFmtId="0" fontId="6" fillId="4" borderId="31" xfId="0" applyFont="1" applyFill="1" applyBorder="1" applyAlignment="1">
      <alignment horizontal="center" wrapText="1"/>
    </xf>
    <xf numFmtId="0" fontId="0" fillId="0" borderId="0" xfId="0" applyAlignment="1">
      <alignment horizontal="left" indent="1"/>
    </xf>
    <xf numFmtId="0" fontId="0" fillId="0" borderId="0" xfId="0" applyAlignment="1">
      <alignment horizontal="left"/>
    </xf>
    <xf numFmtId="0" fontId="0" fillId="3" borderId="0" xfId="0" applyFill="1"/>
    <xf numFmtId="168" fontId="0" fillId="3" borderId="0" xfId="0" applyNumberFormat="1" applyFill="1" applyAlignment="1">
      <alignment horizontal="center"/>
    </xf>
    <xf numFmtId="0" fontId="11" fillId="4" borderId="25" xfId="0" applyFont="1" applyFill="1" applyBorder="1"/>
    <xf numFmtId="1" fontId="11" fillId="4" borderId="21" xfId="0" applyNumberFormat="1" applyFont="1" applyFill="1" applyBorder="1" applyAlignment="1">
      <alignment horizontal="center"/>
    </xf>
    <xf numFmtId="1" fontId="11" fillId="4" borderId="26" xfId="0" applyNumberFormat="1" applyFont="1" applyFill="1" applyBorder="1" applyAlignment="1">
      <alignment horizontal="center"/>
    </xf>
    <xf numFmtId="9" fontId="0" fillId="0" borderId="0" xfId="0" applyNumberFormat="1"/>
    <xf numFmtId="169" fontId="0" fillId="0" borderId="0" xfId="0" applyNumberFormat="1" applyAlignment="1">
      <alignment horizontal="center"/>
    </xf>
    <xf numFmtId="14" fontId="0" fillId="0" borderId="0" xfId="0" applyNumberFormat="1" applyAlignment="1">
      <alignment horizontal="center"/>
    </xf>
    <xf numFmtId="0" fontId="1" fillId="4" borderId="30" xfId="0" applyFont="1" applyFill="1" applyBorder="1" applyAlignment="1">
      <alignment horizontal="center"/>
    </xf>
    <xf numFmtId="0" fontId="1" fillId="4" borderId="33" xfId="0" applyFont="1" applyFill="1" applyBorder="1" applyAlignment="1">
      <alignment horizontal="center"/>
    </xf>
    <xf numFmtId="0" fontId="1" fillId="4" borderId="31" xfId="0" applyFont="1" applyFill="1" applyBorder="1" applyAlignment="1">
      <alignment horizontal="center"/>
    </xf>
    <xf numFmtId="0" fontId="0" fillId="5" borderId="34" xfId="0" applyFill="1" applyBorder="1" applyAlignment="1">
      <alignment horizontal="center"/>
    </xf>
    <xf numFmtId="0" fontId="0" fillId="5" borderId="35" xfId="0" applyFill="1" applyBorder="1" applyAlignment="1">
      <alignment horizontal="center"/>
    </xf>
    <xf numFmtId="0" fontId="0" fillId="5" borderId="36" xfId="0" applyFill="1" applyBorder="1" applyAlignment="1">
      <alignment horizontal="center"/>
    </xf>
    <xf numFmtId="0" fontId="1" fillId="4" borderId="24" xfId="0" applyFont="1" applyFill="1" applyBorder="1" applyAlignment="1">
      <alignment horizontal="center"/>
    </xf>
    <xf numFmtId="164" fontId="0" fillId="5" borderId="4" xfId="0" applyNumberFormat="1" applyFill="1" applyBorder="1" applyAlignment="1">
      <alignment horizontal="center"/>
    </xf>
    <xf numFmtId="164" fontId="0" fillId="5" borderId="6" xfId="0" applyNumberFormat="1" applyFill="1" applyBorder="1" applyAlignment="1">
      <alignment horizontal="center"/>
    </xf>
    <xf numFmtId="164" fontId="0" fillId="5" borderId="8" xfId="0" applyNumberFormat="1" applyFill="1" applyBorder="1" applyAlignment="1">
      <alignment horizontal="center"/>
    </xf>
    <xf numFmtId="0" fontId="0" fillId="5" borderId="3" xfId="0" applyFill="1" applyBorder="1" applyAlignment="1">
      <alignment horizontal="right"/>
    </xf>
    <xf numFmtId="0" fontId="0" fillId="5" borderId="4" xfId="0" applyNumberFormat="1" applyFill="1" applyBorder="1" applyAlignment="1">
      <alignment horizontal="center"/>
    </xf>
    <xf numFmtId="0" fontId="0" fillId="5" borderId="38" xfId="0" applyFill="1" applyBorder="1"/>
    <xf numFmtId="0" fontId="0" fillId="5" borderId="5" xfId="0" applyFill="1" applyBorder="1" applyAlignment="1">
      <alignment horizontal="right"/>
    </xf>
    <xf numFmtId="0" fontId="0" fillId="5" borderId="6" xfId="0" applyNumberFormat="1" applyFill="1" applyBorder="1" applyAlignment="1">
      <alignment horizontal="center"/>
    </xf>
    <xf numFmtId="14" fontId="0" fillId="5" borderId="6" xfId="0" applyNumberFormat="1" applyFill="1" applyBorder="1" applyAlignment="1">
      <alignment horizontal="center"/>
    </xf>
    <xf numFmtId="0" fontId="0" fillId="5" borderId="6" xfId="0" applyFill="1" applyBorder="1" applyAlignment="1">
      <alignment horizontal="center"/>
    </xf>
    <xf numFmtId="164" fontId="0" fillId="5" borderId="6" xfId="3" applyNumberFormat="1" applyFont="1" applyFill="1" applyBorder="1" applyAlignment="1">
      <alignment horizontal="center"/>
    </xf>
    <xf numFmtId="0" fontId="0" fillId="5" borderId="39" xfId="0" applyFill="1" applyBorder="1"/>
    <xf numFmtId="0" fontId="0" fillId="5" borderId="7" xfId="0" applyFill="1" applyBorder="1" applyAlignment="1">
      <alignment horizontal="right"/>
    </xf>
    <xf numFmtId="0" fontId="1" fillId="5" borderId="12" xfId="0" applyFont="1" applyFill="1" applyBorder="1" applyAlignment="1">
      <alignment horizontal="center"/>
    </xf>
    <xf numFmtId="0" fontId="4" fillId="5" borderId="12" xfId="0" applyFont="1" applyFill="1" applyBorder="1" applyAlignment="1">
      <alignment horizontal="center"/>
    </xf>
    <xf numFmtId="0" fontId="1" fillId="4" borderId="32" xfId="0" applyFont="1" applyFill="1" applyBorder="1" applyAlignment="1">
      <alignment horizontal="left"/>
    </xf>
    <xf numFmtId="8" fontId="15" fillId="4" borderId="0" xfId="0" applyNumberFormat="1" applyFont="1" applyFill="1"/>
    <xf numFmtId="0" fontId="17" fillId="10" borderId="0" xfId="0" applyFont="1" applyFill="1" applyBorder="1" applyAlignment="1">
      <alignment horizontal="left"/>
    </xf>
    <xf numFmtId="0" fontId="18" fillId="10" borderId="21" xfId="0" applyFont="1" applyFill="1" applyBorder="1" applyAlignment="1">
      <alignment horizontal="left"/>
    </xf>
    <xf numFmtId="0" fontId="17" fillId="10" borderId="2" xfId="0" applyFont="1" applyFill="1" applyBorder="1" applyAlignment="1">
      <alignment horizontal="left"/>
    </xf>
    <xf numFmtId="37" fontId="0" fillId="5" borderId="17" xfId="1" applyNumberFormat="1" applyFont="1" applyFill="1" applyBorder="1" applyAlignment="1">
      <alignment horizontal="center"/>
    </xf>
    <xf numFmtId="0" fontId="1" fillId="5" borderId="25" xfId="0" applyFont="1" applyFill="1" applyBorder="1" applyAlignment="1">
      <alignment horizontal="right"/>
    </xf>
    <xf numFmtId="164" fontId="1" fillId="5" borderId="21" xfId="0" applyNumberFormat="1" applyFont="1" applyFill="1" applyBorder="1" applyAlignment="1">
      <alignment horizontal="center"/>
    </xf>
    <xf numFmtId="37" fontId="1" fillId="5" borderId="26" xfId="1" applyNumberFormat="1" applyFont="1" applyFill="1" applyBorder="1" applyAlignment="1">
      <alignment horizontal="center"/>
    </xf>
    <xf numFmtId="0" fontId="1" fillId="5" borderId="26" xfId="0" applyFont="1" applyFill="1" applyBorder="1" applyAlignment="1">
      <alignment horizontal="center"/>
    </xf>
    <xf numFmtId="164" fontId="1" fillId="5" borderId="21" xfId="2" applyNumberFormat="1" applyFont="1" applyFill="1" applyBorder="1" applyAlignment="1">
      <alignment horizontal="center"/>
    </xf>
    <xf numFmtId="0" fontId="0" fillId="5" borderId="2" xfId="0" applyFont="1" applyFill="1" applyBorder="1" applyAlignment="1">
      <alignment horizontal="left"/>
    </xf>
    <xf numFmtId="0" fontId="0" fillId="5" borderId="2" xfId="0" applyFont="1" applyFill="1" applyBorder="1" applyAlignment="1">
      <alignment horizontal="center"/>
    </xf>
    <xf numFmtId="0" fontId="16" fillId="12" borderId="1" xfId="0" applyFont="1" applyFill="1" applyBorder="1" applyAlignment="1">
      <alignment horizontal="left"/>
    </xf>
    <xf numFmtId="0" fontId="16" fillId="12" borderId="19" xfId="0" applyFont="1" applyFill="1" applyBorder="1" applyAlignment="1">
      <alignment horizontal="left"/>
    </xf>
    <xf numFmtId="0" fontId="0" fillId="8" borderId="29" xfId="0" applyFont="1" applyFill="1" applyBorder="1"/>
    <xf numFmtId="0" fontId="19" fillId="12" borderId="1" xfId="0" applyFont="1" applyFill="1" applyBorder="1" applyAlignment="1">
      <alignment horizontal="left"/>
    </xf>
    <xf numFmtId="9" fontId="0" fillId="5" borderId="17" xfId="3" applyFont="1" applyFill="1" applyBorder="1" applyAlignment="1">
      <alignment horizontal="center"/>
    </xf>
    <xf numFmtId="0" fontId="21" fillId="0" borderId="0" xfId="0" applyFont="1"/>
    <xf numFmtId="0" fontId="20" fillId="0" borderId="0" xfId="0" applyFont="1" applyBorder="1" applyAlignment="1">
      <alignment vertical="center" wrapText="1"/>
    </xf>
    <xf numFmtId="0" fontId="19" fillId="0" borderId="0" xfId="0" applyFont="1" applyFill="1" applyBorder="1"/>
    <xf numFmtId="0" fontId="21" fillId="0" borderId="0" xfId="0" applyFont="1" applyFill="1" applyBorder="1"/>
    <xf numFmtId="0" fontId="20" fillId="0" borderId="0" xfId="0" applyFont="1" applyFill="1" applyBorder="1" applyAlignment="1">
      <alignment vertical="center" wrapText="1"/>
    </xf>
    <xf numFmtId="0" fontId="1" fillId="0" borderId="0" xfId="0" applyFont="1" applyFill="1" applyBorder="1" applyAlignment="1">
      <alignment horizontal="center"/>
    </xf>
    <xf numFmtId="0" fontId="0" fillId="0" borderId="0" xfId="0" applyFill="1"/>
    <xf numFmtId="0" fontId="0" fillId="5" borderId="37" xfId="0" applyFill="1" applyBorder="1" applyAlignment="1">
      <alignment horizontal="left"/>
    </xf>
    <xf numFmtId="0" fontId="0" fillId="5" borderId="38" xfId="0" applyFill="1" applyBorder="1" applyAlignment="1">
      <alignment horizontal="left"/>
    </xf>
    <xf numFmtId="14" fontId="0" fillId="5" borderId="38" xfId="0" applyNumberFormat="1" applyFill="1" applyBorder="1" applyAlignment="1">
      <alignment horizontal="left"/>
    </xf>
    <xf numFmtId="0" fontId="1" fillId="8" borderId="37" xfId="0" applyFont="1" applyFill="1" applyBorder="1" applyAlignment="1">
      <alignment horizontal="center"/>
    </xf>
    <xf numFmtId="0" fontId="11" fillId="8" borderId="40" xfId="0" applyFont="1" applyFill="1" applyBorder="1" applyAlignment="1">
      <alignment horizontal="center"/>
    </xf>
    <xf numFmtId="0" fontId="4" fillId="8" borderId="29" xfId="0" applyFont="1" applyFill="1" applyBorder="1" applyAlignment="1">
      <alignment horizontal="center"/>
    </xf>
    <xf numFmtId="0" fontId="0" fillId="5" borderId="26" xfId="0" applyFill="1" applyBorder="1"/>
    <xf numFmtId="37" fontId="0" fillId="0" borderId="15" xfId="1" applyNumberFormat="1" applyFont="1" applyBorder="1" applyAlignment="1">
      <alignment horizontal="center"/>
    </xf>
    <xf numFmtId="37" fontId="0" fillId="0" borderId="17" xfId="1" applyNumberFormat="1" applyFont="1" applyBorder="1" applyAlignment="1">
      <alignment horizontal="center"/>
    </xf>
    <xf numFmtId="37" fontId="0" fillId="0" borderId="20" xfId="1" applyNumberFormat="1" applyFont="1" applyBorder="1" applyAlignment="1">
      <alignment horizontal="center"/>
    </xf>
    <xf numFmtId="164" fontId="6" fillId="14" borderId="15" xfId="0" applyNumberFormat="1" applyFont="1" applyFill="1" applyBorder="1"/>
    <xf numFmtId="165" fontId="6" fillId="14" borderId="17" xfId="0" applyNumberFormat="1" applyFont="1" applyFill="1" applyBorder="1"/>
    <xf numFmtId="3" fontId="6" fillId="14" borderId="17" xfId="0" applyNumberFormat="1" applyFont="1" applyFill="1" applyBorder="1"/>
    <xf numFmtId="3" fontId="0" fillId="0" borderId="0" xfId="0" applyNumberFormat="1" applyBorder="1"/>
    <xf numFmtId="0" fontId="22" fillId="0" borderId="0" xfId="0" applyFont="1" applyFill="1"/>
    <xf numFmtId="0" fontId="22" fillId="0" borderId="0" xfId="0" applyFont="1"/>
    <xf numFmtId="0" fontId="0" fillId="0" borderId="0" xfId="0" applyAlignment="1">
      <alignment horizontal="center"/>
    </xf>
    <xf numFmtId="0" fontId="2" fillId="0" borderId="0" xfId="0" applyFont="1" applyFill="1" applyBorder="1" applyAlignment="1">
      <alignment vertical="center"/>
    </xf>
    <xf numFmtId="0" fontId="23" fillId="0" borderId="0" xfId="0" applyFont="1" applyFill="1"/>
    <xf numFmtId="0" fontId="20" fillId="0" borderId="0" xfId="0" applyFont="1" applyBorder="1" applyAlignment="1">
      <alignment vertical="top" wrapText="1"/>
    </xf>
    <xf numFmtId="0" fontId="0" fillId="13" borderId="31" xfId="0" applyFill="1" applyBorder="1" applyAlignment="1">
      <alignment wrapText="1"/>
    </xf>
    <xf numFmtId="0" fontId="0" fillId="13" borderId="45" xfId="0" applyFill="1" applyBorder="1" applyAlignment="1">
      <alignment wrapText="1"/>
    </xf>
    <xf numFmtId="0" fontId="20" fillId="13" borderId="45" xfId="0" applyFont="1" applyFill="1" applyBorder="1" applyAlignment="1">
      <alignment vertical="center" wrapText="1"/>
    </xf>
    <xf numFmtId="0" fontId="0" fillId="13" borderId="36" xfId="0" applyFill="1" applyBorder="1" applyAlignment="1">
      <alignment wrapText="1"/>
    </xf>
    <xf numFmtId="0" fontId="20" fillId="13" borderId="33" xfId="0" applyFont="1" applyFill="1" applyBorder="1" applyAlignment="1">
      <alignment horizontal="left" vertical="center" wrapText="1"/>
    </xf>
    <xf numFmtId="0" fontId="20" fillId="13" borderId="12" xfId="0" applyFont="1" applyFill="1" applyBorder="1" applyAlignment="1">
      <alignment horizontal="left" vertical="center" wrapText="1"/>
    </xf>
    <xf numFmtId="0" fontId="20" fillId="13" borderId="35" xfId="0" applyFont="1" applyFill="1" applyBorder="1" applyAlignment="1">
      <alignment horizontal="left" vertical="center" wrapText="1"/>
    </xf>
    <xf numFmtId="0" fontId="25" fillId="4" borderId="41" xfId="0" applyFont="1" applyFill="1" applyBorder="1"/>
    <xf numFmtId="0" fontId="25" fillId="4" borderId="42" xfId="0" applyFont="1" applyFill="1" applyBorder="1"/>
    <xf numFmtId="0" fontId="25" fillId="4" borderId="43" xfId="0" applyFont="1" applyFill="1" applyBorder="1"/>
    <xf numFmtId="0" fontId="20" fillId="5" borderId="30" xfId="0" applyFont="1" applyFill="1" applyBorder="1" applyAlignment="1">
      <alignment horizontal="center" vertical="center"/>
    </xf>
    <xf numFmtId="0" fontId="20" fillId="5" borderId="44" xfId="0" applyFont="1" applyFill="1" applyBorder="1" applyAlignment="1">
      <alignment horizontal="center" vertical="center"/>
    </xf>
    <xf numFmtId="0" fontId="20" fillId="5" borderId="44" xfId="0" applyFont="1" applyFill="1" applyBorder="1" applyAlignment="1">
      <alignment horizontal="center" vertical="center" wrapText="1"/>
    </xf>
    <xf numFmtId="0" fontId="20" fillId="5" borderId="34" xfId="0" applyFont="1" applyFill="1" applyBorder="1" applyAlignment="1">
      <alignment horizontal="center" vertical="center" wrapText="1"/>
    </xf>
    <xf numFmtId="0" fontId="20" fillId="13" borderId="33"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3" borderId="35" xfId="0" applyFont="1" applyFill="1" applyBorder="1" applyAlignment="1">
      <alignment horizontal="center" vertical="center" wrapText="1"/>
    </xf>
    <xf numFmtId="0" fontId="0" fillId="0" borderId="0" xfId="0" applyAlignment="1">
      <alignment horizontal="center"/>
    </xf>
    <xf numFmtId="0" fontId="6" fillId="13" borderId="12" xfId="0" applyFont="1" applyFill="1" applyBorder="1" applyAlignment="1" applyProtection="1">
      <alignment horizontal="center" vertical="center"/>
      <protection locked="0"/>
    </xf>
    <xf numFmtId="10" fontId="6" fillId="13" borderId="12" xfId="3" applyNumberFormat="1" applyFont="1" applyFill="1" applyBorder="1" applyAlignment="1" applyProtection="1">
      <alignment horizontal="center" vertical="center"/>
      <protection locked="0"/>
    </xf>
    <xf numFmtId="14" fontId="6" fillId="13" borderId="12" xfId="0" applyNumberFormat="1" applyFont="1" applyFill="1" applyBorder="1" applyAlignment="1" applyProtection="1">
      <alignment horizontal="center" vertical="center"/>
      <protection locked="0"/>
    </xf>
    <xf numFmtId="0" fontId="0" fillId="16" borderId="0" xfId="0" applyFill="1"/>
    <xf numFmtId="0" fontId="7" fillId="17" borderId="0" xfId="0" applyFont="1" applyFill="1" applyBorder="1" applyAlignment="1">
      <alignment horizontal="left"/>
    </xf>
    <xf numFmtId="0" fontId="6" fillId="17" borderId="0" xfId="0" applyFont="1" applyFill="1" applyBorder="1" applyAlignment="1">
      <alignment horizontal="center"/>
    </xf>
    <xf numFmtId="0" fontId="0" fillId="17" borderId="0" xfId="0" applyFill="1" applyBorder="1"/>
    <xf numFmtId="0" fontId="6" fillId="17" borderId="0" xfId="0" applyFont="1" applyFill="1" applyBorder="1" applyAlignment="1">
      <alignment horizontal="right" vertical="center"/>
    </xf>
    <xf numFmtId="169" fontId="6" fillId="17" borderId="0" xfId="0" applyNumberFormat="1" applyFont="1" applyFill="1" applyBorder="1" applyAlignment="1" applyProtection="1">
      <alignment horizontal="center" vertical="center"/>
      <protection locked="0"/>
    </xf>
    <xf numFmtId="0" fontId="6" fillId="17" borderId="0" xfId="0" applyFont="1" applyFill="1" applyBorder="1" applyAlignment="1">
      <alignment horizontal="right" vertical="center" wrapText="1"/>
    </xf>
    <xf numFmtId="0" fontId="7" fillId="17" borderId="0" xfId="0" applyFont="1" applyFill="1" applyBorder="1" applyAlignment="1">
      <alignment horizontal="left" vertical="center"/>
    </xf>
    <xf numFmtId="0" fontId="6" fillId="17" borderId="0" xfId="0" applyFont="1" applyFill="1" applyBorder="1" applyAlignment="1">
      <alignment horizontal="center" vertical="center"/>
    </xf>
    <xf numFmtId="169" fontId="6" fillId="13" borderId="12" xfId="0" applyNumberFormat="1" applyFont="1" applyFill="1" applyBorder="1" applyAlignment="1" applyProtection="1">
      <alignment horizontal="center" vertical="center"/>
      <protection locked="0"/>
    </xf>
    <xf numFmtId="169" fontId="6" fillId="17" borderId="12" xfId="0" applyNumberFormat="1" applyFont="1" applyFill="1" applyBorder="1" applyAlignment="1" applyProtection="1">
      <alignment horizontal="center" vertical="center"/>
      <protection locked="0"/>
    </xf>
    <xf numFmtId="0" fontId="6" fillId="17" borderId="12" xfId="0" applyFont="1" applyFill="1" applyBorder="1" applyAlignment="1">
      <alignment horizontal="center" vertical="center"/>
    </xf>
    <xf numFmtId="164" fontId="6" fillId="17" borderId="12" xfId="0" applyNumberFormat="1" applyFont="1" applyFill="1" applyBorder="1" applyAlignment="1" applyProtection="1">
      <alignment horizontal="center" vertical="center"/>
    </xf>
    <xf numFmtId="164" fontId="6" fillId="17" borderId="12" xfId="3" applyNumberFormat="1" applyFont="1" applyFill="1" applyBorder="1" applyAlignment="1" applyProtection="1">
      <alignment horizontal="center" vertical="center"/>
    </xf>
    <xf numFmtId="10" fontId="0" fillId="5" borderId="6" xfId="0" applyNumberFormat="1" applyFill="1" applyBorder="1" applyAlignment="1">
      <alignment horizontal="center"/>
    </xf>
    <xf numFmtId="14" fontId="6" fillId="17" borderId="0" xfId="0" applyNumberFormat="1" applyFont="1" applyFill="1" applyBorder="1" applyAlignment="1">
      <alignment horizontal="right" vertical="center"/>
    </xf>
    <xf numFmtId="0" fontId="0" fillId="0" borderId="0" xfId="0" applyAlignment="1">
      <alignment horizontal="center"/>
    </xf>
    <xf numFmtId="0" fontId="27" fillId="0" borderId="0" xfId="0" applyFont="1" applyAlignment="1">
      <alignment horizontal="center"/>
    </xf>
    <xf numFmtId="0" fontId="0" fillId="0" borderId="0" xfId="0" applyAlignment="1"/>
    <xf numFmtId="0" fontId="28" fillId="0" borderId="0" xfId="0" applyFont="1" applyAlignment="1">
      <alignment horizontal="center"/>
    </xf>
    <xf numFmtId="165" fontId="28" fillId="0" borderId="0" xfId="0" applyNumberFormat="1" applyFont="1" applyAlignment="1">
      <alignment horizontal="center"/>
    </xf>
    <xf numFmtId="10" fontId="28" fillId="0" borderId="0" xfId="0" applyNumberFormat="1" applyFont="1" applyAlignment="1">
      <alignment horizontal="center"/>
    </xf>
    <xf numFmtId="2" fontId="28" fillId="0" borderId="0" xfId="3" applyNumberFormat="1" applyFont="1" applyAlignment="1">
      <alignment horizontal="center"/>
    </xf>
    <xf numFmtId="9" fontId="28" fillId="0" borderId="0" xfId="0" applyNumberFormat="1" applyFont="1" applyAlignment="1">
      <alignment horizontal="center"/>
    </xf>
    <xf numFmtId="0" fontId="29" fillId="0" borderId="0" xfId="0" applyFont="1" applyAlignment="1">
      <alignment horizontal="center"/>
    </xf>
    <xf numFmtId="0" fontId="0" fillId="0" borderId="0" xfId="0" applyAlignment="1">
      <alignment horizontal="center"/>
    </xf>
    <xf numFmtId="0" fontId="0" fillId="0" borderId="26" xfId="0" applyBorder="1" applyAlignment="1">
      <alignment horizontal="center"/>
    </xf>
    <xf numFmtId="0" fontId="0" fillId="0" borderId="25" xfId="0" applyBorder="1" applyAlignment="1">
      <alignment horizontal="center"/>
    </xf>
    <xf numFmtId="2" fontId="0" fillId="0" borderId="26" xfId="3" applyNumberFormat="1" applyFont="1" applyBorder="1" applyAlignment="1">
      <alignment horizontal="center"/>
    </xf>
    <xf numFmtId="0" fontId="4" fillId="0" borderId="0" xfId="0" applyFont="1"/>
    <xf numFmtId="0" fontId="28" fillId="0" borderId="0" xfId="0" applyFont="1"/>
    <xf numFmtId="0" fontId="30" fillId="0" borderId="0" xfId="0" applyFont="1" applyAlignment="1">
      <alignment horizontal="center" vertical="center"/>
    </xf>
    <xf numFmtId="9" fontId="28" fillId="0" borderId="0" xfId="3" applyFont="1" applyAlignment="1">
      <alignment horizontal="center"/>
    </xf>
    <xf numFmtId="0" fontId="7" fillId="0" borderId="0" xfId="0" applyFont="1"/>
    <xf numFmtId="0" fontId="0" fillId="13" borderId="45" xfId="0" applyFill="1" applyBorder="1" applyAlignment="1">
      <alignment horizontal="center" wrapText="1"/>
    </xf>
    <xf numFmtId="0" fontId="0" fillId="0" borderId="0" xfId="0" applyAlignment="1">
      <alignment horizontal="center"/>
    </xf>
    <xf numFmtId="0" fontId="20" fillId="13" borderId="12" xfId="0" applyFont="1" applyFill="1" applyBorder="1" applyAlignment="1">
      <alignment horizontal="left" vertical="center" wrapText="1"/>
    </xf>
    <xf numFmtId="0" fontId="20" fillId="5" borderId="44"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0" borderId="0" xfId="0" applyFont="1" applyFill="1" applyBorder="1" applyAlignment="1">
      <alignment vertical="center" wrapText="1"/>
    </xf>
    <xf numFmtId="0" fontId="2" fillId="6" borderId="9" xfId="0" applyFont="1" applyFill="1" applyBorder="1" applyAlignment="1">
      <alignment horizontal="center" vertical="center"/>
    </xf>
    <xf numFmtId="0" fontId="2" fillId="6" borderId="10" xfId="0" applyFont="1" applyFill="1" applyBorder="1" applyAlignment="1">
      <alignment horizontal="center" vertical="center"/>
    </xf>
    <xf numFmtId="0" fontId="2" fillId="6" borderId="11" xfId="0" applyFont="1" applyFill="1" applyBorder="1" applyAlignment="1">
      <alignment horizontal="center" vertical="center"/>
    </xf>
    <xf numFmtId="0" fontId="7" fillId="9" borderId="0" xfId="0" applyFont="1" applyFill="1" applyAlignment="1">
      <alignment horizontal="center" vertical="center" textRotation="90"/>
    </xf>
    <xf numFmtId="0" fontId="7" fillId="9" borderId="0" xfId="0" applyFont="1" applyFill="1" applyAlignment="1">
      <alignment horizontal="center" vertical="center"/>
    </xf>
    <xf numFmtId="0" fontId="8" fillId="9" borderId="12" xfId="0" applyFont="1" applyFill="1" applyBorder="1" applyAlignment="1">
      <alignment horizontal="center" vertic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1" fillId="3" borderId="24" xfId="0" applyFont="1" applyFill="1" applyBorder="1" applyAlignment="1">
      <alignment horizontal="center"/>
    </xf>
    <xf numFmtId="0" fontId="8" fillId="2" borderId="22" xfId="0" applyFont="1" applyFill="1" applyBorder="1" applyAlignment="1">
      <alignment horizontal="center" vertical="center"/>
    </xf>
    <xf numFmtId="0" fontId="8" fillId="2" borderId="23" xfId="0" applyFont="1" applyFill="1" applyBorder="1" applyAlignment="1">
      <alignment horizontal="center" vertical="center"/>
    </xf>
    <xf numFmtId="0" fontId="8" fillId="2" borderId="24" xfId="0" applyFont="1" applyFill="1" applyBorder="1" applyAlignment="1">
      <alignment horizontal="center" vertical="center"/>
    </xf>
    <xf numFmtId="0" fontId="26" fillId="15" borderId="0" xfId="0" applyFont="1" applyFill="1" applyBorder="1" applyAlignment="1">
      <alignment horizontal="center" vertical="center"/>
    </xf>
    <xf numFmtId="0" fontId="1" fillId="4" borderId="22" xfId="0" applyFont="1" applyFill="1" applyBorder="1" applyAlignment="1">
      <alignment horizontal="center"/>
    </xf>
    <xf numFmtId="0" fontId="1" fillId="4" borderId="23" xfId="0" applyFont="1" applyFill="1" applyBorder="1" applyAlignment="1">
      <alignment horizontal="center"/>
    </xf>
    <xf numFmtId="0" fontId="1" fillId="4" borderId="24" xfId="0" applyFont="1" applyFill="1" applyBorder="1" applyAlignment="1">
      <alignment horizontal="center"/>
    </xf>
    <xf numFmtId="0" fontId="1" fillId="4" borderId="3" xfId="0" applyFont="1" applyFill="1" applyBorder="1" applyAlignment="1">
      <alignment horizontal="center"/>
    </xf>
    <xf numFmtId="0" fontId="1" fillId="4" borderId="1" xfId="0" applyFont="1" applyFill="1" applyBorder="1" applyAlignment="1">
      <alignment horizontal="center"/>
    </xf>
    <xf numFmtId="0" fontId="1" fillId="4" borderId="4" xfId="0" applyFont="1" applyFill="1" applyBorder="1" applyAlignment="1">
      <alignment horizontal="center"/>
    </xf>
  </cellXfs>
  <cellStyles count="4">
    <cellStyle name="Comma" xfId="1" builtinId="3"/>
    <cellStyle name="Currency" xfId="2" builtinId="4"/>
    <cellStyle name="Normal" xfId="0" builtinId="0"/>
    <cellStyle name="Percent" xfId="3" builtinId="5"/>
  </cellStyles>
  <dxfs count="114">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color auto="1"/>
      </font>
      <fill>
        <patternFill>
          <bgColor rgb="FFFFC000"/>
        </patternFill>
      </fill>
    </dxf>
    <dxf>
      <font>
        <color auto="1"/>
      </font>
      <fill>
        <patternFill>
          <bgColor rgb="FF92D050"/>
        </patternFill>
      </fill>
    </dxf>
    <dxf>
      <fill>
        <patternFill>
          <bgColor rgb="FF00B050"/>
        </patternFill>
      </fill>
    </dxf>
    <dxf>
      <fill>
        <patternFill>
          <bgColor rgb="FFFF0000"/>
        </patternFill>
      </fill>
    </dxf>
    <dxf>
      <fill>
        <patternFill>
          <bgColor rgb="FFC00000"/>
        </patternFill>
      </fill>
    </dxf>
    <dxf>
      <font>
        <b/>
        <i val="0"/>
        <color rgb="FFFF0000"/>
      </font>
    </dxf>
    <dxf>
      <font>
        <b/>
        <i val="0"/>
        <color theme="7"/>
      </font>
    </dxf>
    <dxf>
      <font>
        <b/>
        <i val="0"/>
        <u val="none"/>
        <color rgb="FF00B050"/>
      </font>
    </dxf>
    <dxf>
      <alignment horizontal="center" readingOrder="0"/>
    </dxf>
    <dxf>
      <numFmt numFmtId="168" formatCode="&quot;$&quot;#,##0"/>
    </dxf>
    <dxf>
      <fill>
        <patternFill>
          <bgColor theme="0" tint="-0.249977111117893"/>
        </patternFill>
      </fill>
    </dxf>
    <dxf>
      <fill>
        <patternFill>
          <bgColor theme="0" tint="-0.249977111117893"/>
        </patternFill>
      </fill>
    </dxf>
    <dxf>
      <fill>
        <patternFill>
          <bgColor theme="0" tint="-0.249977111117893"/>
        </patternFill>
      </fill>
    </dxf>
    <dxf>
      <alignment horizontal="center" readingOrder="0"/>
    </dxf>
    <dxf>
      <alignment horizontal="center" readingOrder="0"/>
    </dxf>
    <dxf>
      <fill>
        <patternFill patternType="solid">
          <bgColor theme="0" tint="-0.249977111117893"/>
        </patternFill>
      </fill>
    </dxf>
    <dxf>
      <fill>
        <patternFill>
          <bgColor theme="0" tint="-0.249977111117893"/>
        </patternFill>
      </fill>
    </dxf>
    <dxf>
      <fill>
        <patternFill patternType="solid">
          <bgColor theme="0" tint="-0.14999847407452621"/>
        </patternFill>
      </fill>
    </dxf>
    <dxf>
      <alignment horizontal="center" readingOrder="0"/>
    </dxf>
    <dxf>
      <alignment horizontal="center" readingOrder="0"/>
    </dxf>
    <dxf>
      <numFmt numFmtId="168" formatCode="&quot;$&quot;#,##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5"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alignment horizontal="center" vertical="bottom" textRotation="0" wrapText="0" indent="0" justifyLastLine="0" shrinkToFit="0" readingOrder="0"/>
    </dxf>
    <dxf>
      <alignment horizontal="center" vertical="bottom"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alignment horizontal="center" vertical="bottom" textRotation="0" wrapText="1" indent="0" justifyLastLine="0" shrinkToFit="0" readingOrder="0"/>
    </dxf>
    <dxf>
      <fill>
        <patternFill>
          <bgColor theme="9" tint="0.59996337778862885"/>
        </patternFill>
      </fill>
    </dxf>
    <dxf>
      <fill>
        <patternFill>
          <bgColor rgb="FFFF7C80"/>
        </patternFill>
      </fill>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numFmt numFmtId="168" formatCode="&quot;$&quot;#,##0"/>
    </dxf>
    <dxf>
      <fill>
        <patternFill>
          <bgColor theme="0" tint="-0.14999847407452621"/>
        </patternFill>
      </fill>
    </dxf>
    <dxf>
      <border>
        <left style="thin">
          <color indexed="64"/>
        </left>
        <right style="thin">
          <color indexed="64"/>
        </right>
        <top style="thin">
          <color indexed="64"/>
        </top>
        <bottom style="thin">
          <color indexed="64"/>
        </bottom>
      </border>
    </dxf>
    <dxf>
      <border>
        <top style="thin">
          <color indexed="64"/>
        </top>
      </border>
    </dxf>
    <dxf>
      <border>
        <left/>
        <right/>
        <top/>
        <bottom/>
        <vertical/>
      </border>
    </dxf>
    <dxf>
      <border>
        <left/>
        <right/>
        <top/>
        <bottom/>
        <vertical/>
      </border>
    </dxf>
    <dxf>
      <fill>
        <patternFill>
          <bgColor theme="4" tint="0.79998168889431442"/>
        </patternFill>
      </fill>
    </dxf>
    <dxf>
      <font>
        <color auto="1"/>
      </font>
    </dxf>
    <dxf>
      <font>
        <color auto="1"/>
      </font>
    </dxf>
    <dxf>
      <font>
        <sz val="12"/>
      </font>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9847407452621"/>
        </patternFill>
      </fill>
    </dxf>
    <dxf>
      <fill>
        <patternFill>
          <bgColor theme="0" tint="-0.14999847407452621"/>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249977111117893"/>
        </patternFill>
      </fill>
    </dxf>
    <dxf>
      <fill>
        <patternFill patternType="solid">
          <bgColor theme="0" tint="-0.249977111117893"/>
        </patternFill>
      </fill>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numFmt numFmtId="168" formatCode="&quot;$&quot;#,##0"/>
    </dxf>
    <dxf>
      <alignment wrapText="1" readingOrder="0"/>
    </dxf>
    <dxf>
      <alignment wrapText="1" readingOrder="0"/>
    </dxf>
    <dxf>
      <alignment wrapText="1" readingOrder="0"/>
    </dxf>
    <dxf>
      <font>
        <b/>
      </font>
    </dxf>
    <dxf>
      <font>
        <b/>
      </font>
    </dxf>
    <dxf>
      <alignment wrapText="1" readingOrder="0"/>
    </dxf>
    <dxf>
      <alignment wrapText="1" readingOrder="0"/>
    </dxf>
    <dxf>
      <alignment wrapText="1" readingOrder="0"/>
    </dxf>
    <dxf>
      <alignment wrapText="1" readingOrder="0"/>
    </dxf>
    <dxf>
      <alignment wrapText="1" readingOrder="0"/>
    </dxf>
    <dxf>
      <fill>
        <patternFill>
          <bgColor theme="7" tint="0.59996337778862885"/>
        </patternFill>
      </fill>
    </dxf>
    <dxf>
      <fill>
        <patternFill>
          <bgColor theme="7" tint="0.59996337778862885"/>
        </patternFill>
      </fill>
    </dxf>
    <dxf>
      <font>
        <color theme="3" tint="-0.499984740745262"/>
      </font>
    </dxf>
  </dxfs>
  <tableStyles count="1" defaultTableStyle="TableStyleMedium2" defaultPivotStyle="PivotStyleLight16">
    <tableStyle name="Table Style 1" pivot="0" count="1">
      <tableStyleElement type="wholeTable" dxfId="113"/>
    </tableStyle>
  </tableStyles>
  <colors>
    <mruColors>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6/relationships/vbaProject" Target="vbaProject.bin"/><Relationship Id="rId3" Type="http://schemas.openxmlformats.org/officeDocument/2006/relationships/worksheet" Target="worksheets/sheet3.xml"/><Relationship Id="rId21" Type="http://schemas.microsoft.com/office/2011/relationships/timelineCache" Target="timelineCaches/timeline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1"/>
            </a:solidFill>
          </c:spPr>
          <c:explosion val="10"/>
          <c:dPt>
            <c:idx val="0"/>
            <c:bubble3D val="0"/>
            <c:spPr>
              <a:solidFill>
                <a:schemeClr val="accent1">
                  <a:lumMod val="50000"/>
                </a:schemeClr>
              </a:solidFill>
              <a:ln>
                <a:noFill/>
              </a:ln>
              <a:effectLst>
                <a:outerShdw blurRad="57150" dist="19050" dir="5400000" algn="ctr" rotWithShape="0">
                  <a:srgbClr val="000000">
                    <a:alpha val="63000"/>
                  </a:srgbClr>
                </a:outerShdw>
              </a:effectLst>
            </c:spPr>
          </c:dPt>
          <c:dPt>
            <c:idx val="1"/>
            <c:bubble3D val="0"/>
            <c:spPr>
              <a:solidFill>
                <a:schemeClr val="accent4"/>
              </a:solidFill>
              <a:ln>
                <a:noFill/>
              </a:ln>
              <a:effectLst>
                <a:outerShdw blurRad="57150" dist="19050" dir="5400000" algn="ctr" rotWithShape="0">
                  <a:srgbClr val="000000">
                    <a:alpha val="63000"/>
                  </a:srgbClr>
                </a:outerShdw>
              </a:effectLst>
            </c:spPr>
          </c:dPt>
          <c:dLbls>
            <c:dLbl>
              <c:idx val="0"/>
              <c:layout>
                <c:manualLayout>
                  <c:x val="6.4727964176171299E-2"/>
                  <c:y val="-2.6870985225951598E-2"/>
                </c:manualLayout>
              </c:layout>
              <c:dLblPos val="bestFit"/>
              <c:showLegendKey val="0"/>
              <c:showVal val="1"/>
              <c:showCatName val="1"/>
              <c:showSerName val="0"/>
              <c:showPercent val="0"/>
              <c:showBubbleSize val="0"/>
              <c:extLst>
                <c:ext xmlns:c15="http://schemas.microsoft.com/office/drawing/2012/chart" uri="{CE6537A1-D6FC-4f65-9D91-7224C49458BB}">
                  <c15:layout>
                    <c:manualLayout>
                      <c:w val="0.31011872140978003"/>
                      <c:h val="0.24297962019453445"/>
                    </c:manualLayout>
                  </c15:layout>
                </c:ext>
              </c:extLst>
            </c:dLbl>
            <c:dLbl>
              <c:idx val="1"/>
              <c:layout>
                <c:manualLayout>
                  <c:x val="2.0809250449160297E-2"/>
                  <c:y val="0"/>
                </c:manualLayout>
              </c:layout>
              <c:dLblPos val="bestFit"/>
              <c:showLegendKey val="0"/>
              <c:showVal val="1"/>
              <c:showCatName val="1"/>
              <c:showSerName val="0"/>
              <c:showPercent val="0"/>
              <c:showBubbleSize val="0"/>
              <c:extLst>
                <c:ext xmlns:c15="http://schemas.microsoft.com/office/drawing/2012/chart" uri="{CE6537A1-D6FC-4f65-9D91-7224C49458BB}">
                  <c15:layout>
                    <c:manualLayout>
                      <c:w val="0.45130061911616398"/>
                      <c:h val="0.19615378674930747"/>
                    </c:manualLayout>
                  </c15:layout>
                </c:ext>
              </c:extLst>
            </c:dLbl>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('Store Investment'!$C$8,'Store Investment'!$C$11)</c:f>
              <c:strCache>
                <c:ptCount val="2"/>
                <c:pt idx="0">
                  <c:v>Loan Amount</c:v>
                </c:pt>
                <c:pt idx="1">
                  <c:v>Interest Paid</c:v>
                </c:pt>
              </c:strCache>
            </c:strRef>
          </c:cat>
          <c:val>
            <c:numRef>
              <c:f>('Store Investment'!$E$8,'Store Investment'!$E$11)</c:f>
              <c:numCache>
                <c:formatCode>"$"#,##0.00</c:formatCode>
                <c:ptCount val="2"/>
                <c:pt idx="0">
                  <c:v>375000</c:v>
                </c:pt>
                <c:pt idx="1">
                  <c:v>42900.804915690795</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4"/>
            </a:solidFill>
          </c:spPr>
          <c:explosion val="10"/>
          <c:dPt>
            <c:idx val="0"/>
            <c:bubble3D val="0"/>
            <c:spPr>
              <a:solidFill>
                <a:schemeClr val="accent1">
                  <a:lumMod val="50000"/>
                </a:schemeClr>
              </a:solidFill>
              <a:ln>
                <a:noFill/>
              </a:ln>
              <a:effectLst>
                <a:outerShdw blurRad="57150" dist="19050" dir="5400000" algn="ctr" rotWithShape="0">
                  <a:srgbClr val="000000">
                    <a:alpha val="63000"/>
                  </a:srgbClr>
                </a:outerShdw>
              </a:effectLst>
            </c:spPr>
          </c:dPt>
          <c:dPt>
            <c:idx val="1"/>
            <c:bubble3D val="0"/>
            <c:spPr>
              <a:solidFill>
                <a:schemeClr val="accent4"/>
              </a:solidFill>
              <a:ln>
                <a:noFill/>
              </a:ln>
              <a:effectLst>
                <a:outerShdw blurRad="57150" dist="19050" dir="5400000" algn="ctr" rotWithShape="0">
                  <a:srgbClr val="000000">
                    <a:alpha val="63000"/>
                  </a:srgbClr>
                </a:outerShdw>
              </a:effectLst>
            </c:spPr>
          </c:dPt>
          <c:dLbls>
            <c:dLbl>
              <c:idx val="0"/>
              <c:layout>
                <c:manualLayout>
                  <c:x val="5.1661524766161711E-2"/>
                  <c:y val="-3.5621120889300598E-2"/>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3129445217550037"/>
                      <c:h val="0.23820379805465494"/>
                    </c:manualLayout>
                  </c15:layout>
                </c:ext>
              </c:extLst>
            </c:dLbl>
            <c:dLbl>
              <c:idx val="1"/>
              <c:layout>
                <c:manualLayout>
                  <c:x val="-3.1213466042826116E-2"/>
                  <c:y val="2.307691608815382E-2"/>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35115610132958003"/>
                      <c:h val="0.16298071987258636"/>
                    </c:manualLayout>
                  </c15:layout>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('Store Investment'!$C$8,'Store Investment'!$C$11)</c:f>
              <c:strCache>
                <c:ptCount val="2"/>
                <c:pt idx="0">
                  <c:v>Loan Amount</c:v>
                </c:pt>
                <c:pt idx="1">
                  <c:v>Interest Paid</c:v>
                </c:pt>
              </c:strCache>
            </c:strRef>
          </c:cat>
          <c:val>
            <c:numRef>
              <c:f>('Store Investment'!$K$8,'Store Investment'!$K$11)</c:f>
              <c:numCache>
                <c:formatCode>"$"#,##0.00</c:formatCode>
                <c:ptCount val="2"/>
                <c:pt idx="0">
                  <c:v>268196.90175856079</c:v>
                </c:pt>
                <c:pt idx="1">
                  <c:v>30682.301230231184</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explosion val="10"/>
          <c:dPt>
            <c:idx val="0"/>
            <c:bubble3D val="0"/>
            <c:spPr>
              <a:solidFill>
                <a:schemeClr val="accent1">
                  <a:lumMod val="50000"/>
                </a:schemeClr>
              </a:solidFill>
              <a:ln>
                <a:noFill/>
              </a:ln>
              <a:effectLst>
                <a:outerShdw blurRad="57150" dist="19050" dir="5400000" algn="ctr" rotWithShape="0">
                  <a:srgbClr val="000000">
                    <a:alpha val="63000"/>
                  </a:srgbClr>
                </a:outerShdw>
              </a:effectLst>
            </c:spPr>
          </c:dPt>
          <c:dPt>
            <c:idx val="1"/>
            <c:bubble3D val="0"/>
            <c:spPr>
              <a:solidFill>
                <a:schemeClr val="accent4"/>
              </a:solidFill>
              <a:ln>
                <a:noFill/>
              </a:ln>
              <a:effectLst>
                <a:outerShdw blurRad="57150" dist="19050" dir="5400000" algn="ctr" rotWithShape="0">
                  <a:srgbClr val="000000">
                    <a:alpha val="63000"/>
                  </a:srgbClr>
                </a:outerShdw>
              </a:effectLst>
            </c:spPr>
          </c:dPt>
          <c:dLbls>
            <c:dLbl>
              <c:idx val="0"/>
              <c:layout>
                <c:manualLayout>
                  <c:x val="0.19759244159023168"/>
                  <c:y val="-5.8823529411765781E-3"/>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31589604532858562"/>
                      <c:h val="0.24677582213987959"/>
                    </c:manualLayout>
                  </c15:layout>
                </c:ext>
              </c:extLst>
            </c:dLbl>
            <c:dLbl>
              <c:idx val="1"/>
              <c:layout>
                <c:manualLayout>
                  <c:x val="-0.1354359342266713"/>
                  <c:y val="1.4425350458108792E-3"/>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41618486984120412"/>
                      <c:h val="0.22644234198097241"/>
                    </c:manualLayout>
                  </c15:layout>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('Store Investment'!$O$8,'Store Investment'!$O$11)</c:f>
              <c:strCache>
                <c:ptCount val="2"/>
                <c:pt idx="0">
                  <c:v>Loan Amount</c:v>
                </c:pt>
                <c:pt idx="1">
                  <c:v>Interest Paid</c:v>
                </c:pt>
              </c:strCache>
            </c:strRef>
          </c:cat>
          <c:val>
            <c:numRef>
              <c:f>('Store Investment'!$Q$8,'Store Investment'!$Q$11)</c:f>
              <c:numCache>
                <c:formatCode>"$"#,##0.00</c:formatCode>
                <c:ptCount val="2"/>
                <c:pt idx="0">
                  <c:v>375000</c:v>
                </c:pt>
                <c:pt idx="1">
                  <c:v>20000.000002492103</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explosion val="10"/>
          <c:dPt>
            <c:idx val="0"/>
            <c:bubble3D val="0"/>
            <c:spPr>
              <a:solidFill>
                <a:schemeClr val="accent1">
                  <a:lumMod val="50000"/>
                </a:schemeClr>
              </a:solidFill>
              <a:ln>
                <a:noFill/>
              </a:ln>
              <a:effectLst>
                <a:outerShdw blurRad="57150" dist="19050" dir="5400000" algn="ctr" rotWithShape="0">
                  <a:srgbClr val="000000">
                    <a:alpha val="63000"/>
                  </a:srgbClr>
                </a:outerShdw>
              </a:effectLst>
            </c:spPr>
          </c:dPt>
          <c:dPt>
            <c:idx val="1"/>
            <c:bubble3D val="0"/>
            <c:spPr>
              <a:solidFill>
                <a:schemeClr val="accent4"/>
              </a:solidFill>
              <a:ln>
                <a:noFill/>
              </a:ln>
              <a:effectLst>
                <a:outerShdw blurRad="57150" dist="19050" dir="5400000" algn="ctr" rotWithShape="0">
                  <a:srgbClr val="000000">
                    <a:alpha val="63000"/>
                  </a:srgbClr>
                </a:outerShdw>
              </a:effectLst>
            </c:spPr>
          </c:dPt>
          <c:dLbls>
            <c:dLbl>
              <c:idx val="0"/>
              <c:layout>
                <c:manualLayout>
                  <c:x val="2.3496793951802191E-2"/>
                  <c:y val="-1.96943029180176E-2"/>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31459529075567927"/>
                      <c:h val="0.29581009726725338"/>
                    </c:manualLayout>
                  </c15:layout>
                </c:ext>
              </c:extLst>
            </c:dLbl>
            <c:dLbl>
              <c:idx val="1"/>
              <c:layout>
                <c:manualLayout>
                  <c:x val="0"/>
                  <c:y val="0"/>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47275995382640335"/>
                      <c:h val="0.16696148789779289"/>
                    </c:manualLayout>
                  </c15:layout>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('Store Investment'!$U$8,'Store Investment'!$U$11)</c:f>
              <c:strCache>
                <c:ptCount val="2"/>
                <c:pt idx="0">
                  <c:v>Loan Amount</c:v>
                </c:pt>
                <c:pt idx="1">
                  <c:v>Interest Paid</c:v>
                </c:pt>
              </c:strCache>
            </c:strRef>
          </c:cat>
          <c:val>
            <c:numRef>
              <c:f>('Store Investment'!$W$8,'Store Investment'!$W$11)</c:f>
              <c:numCache>
                <c:formatCode>"$"#,##0.00</c:formatCode>
                <c:ptCount val="2"/>
                <c:pt idx="0">
                  <c:v>375000</c:v>
                </c:pt>
                <c:pt idx="1">
                  <c:v>64496.588576841226</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Loan Options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'Scenario Summary'!$D$3:$G$3</c:f>
              <c:strCache>
                <c:ptCount val="4"/>
                <c:pt idx="0">
                  <c:v>Current Values</c:v>
                </c:pt>
                <c:pt idx="1">
                  <c:v>Investor</c:v>
                </c:pt>
                <c:pt idx="2">
                  <c:v>Low Prices</c:v>
                </c:pt>
                <c:pt idx="3">
                  <c:v>Lottery</c:v>
                </c:pt>
              </c:strCache>
            </c:strRef>
          </c:cat>
          <c:val>
            <c:numRef>
              <c:f>'Scenario Summary'!$D$12:$G$12</c:f>
              <c:numCache>
                <c:formatCode>"$"#,##0.00_);[Red]\("$"#,##0.00\)</c:formatCode>
                <c:ptCount val="4"/>
                <c:pt idx="0">
                  <c:v>6991.1322155687403</c:v>
                </c:pt>
                <c:pt idx="1">
                  <c:v>6649.2028058305596</c:v>
                </c:pt>
                <c:pt idx="2">
                  <c:v>7117.7599782748703</c:v>
                </c:pt>
                <c:pt idx="3">
                  <c:v>8437.2898486495706</c:v>
                </c:pt>
              </c:numCache>
            </c:numRef>
          </c:val>
        </c:ser>
        <c:dLbls>
          <c:dLblPos val="outEnd"/>
          <c:showLegendKey val="0"/>
          <c:showVal val="1"/>
          <c:showCatName val="0"/>
          <c:showSerName val="0"/>
          <c:showPercent val="0"/>
          <c:showBubbleSize val="0"/>
        </c:dLbls>
        <c:gapWidth val="50"/>
        <c:overlap val="-27"/>
        <c:axId val="384726656"/>
        <c:axId val="384727832"/>
      </c:barChart>
      <c:catAx>
        <c:axId val="38472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727832"/>
        <c:crosses val="autoZero"/>
        <c:auto val="1"/>
        <c:lblAlgn val="ctr"/>
        <c:lblOffset val="100"/>
        <c:noMultiLvlLbl val="0"/>
      </c:catAx>
      <c:valAx>
        <c:axId val="3847278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72665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'Inventory Analysis'!$C$7</c:f>
              <c:strCache>
                <c:ptCount val="1"/>
                <c:pt idx="0">
                  <c:v>Beer: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errBars>
            <c:errBarType val="both"/>
            <c:errValType val="stdErr"/>
            <c:noEndCap val="0"/>
            <c:spPr>
              <a:noFill/>
              <a:ln w="9525" cap="flat" cmpd="sng" algn="ctr">
                <a:solidFill>
                  <a:schemeClr val="tx1">
                    <a:lumMod val="65000"/>
                    <a:lumOff val="35000"/>
                  </a:schemeClr>
                </a:solidFill>
                <a:round/>
              </a:ln>
              <a:effectLst/>
            </c:spPr>
          </c:errBars>
          <c:cat>
            <c:strRef>
              <c:f>'Inventory Analysis'!$C$7:$C$16</c:f>
              <c:strCache>
                <c:ptCount val="10"/>
                <c:pt idx="0">
                  <c:v>Beer:</c:v>
                </c:pt>
                <c:pt idx="1">
                  <c:v>Rum:</c:v>
                </c:pt>
                <c:pt idx="2">
                  <c:v>Champagne:</c:v>
                </c:pt>
                <c:pt idx="3">
                  <c:v>Liquer:</c:v>
                </c:pt>
                <c:pt idx="4">
                  <c:v>Vodka:</c:v>
                </c:pt>
                <c:pt idx="5">
                  <c:v>Gin:</c:v>
                </c:pt>
                <c:pt idx="6">
                  <c:v>Whiskey:</c:v>
                </c:pt>
                <c:pt idx="7">
                  <c:v>Wine:</c:v>
                </c:pt>
                <c:pt idx="8">
                  <c:v>Cognac:</c:v>
                </c:pt>
                <c:pt idx="9">
                  <c:v>Brandy:</c:v>
                </c:pt>
              </c:strCache>
            </c:strRef>
          </c:cat>
          <c:val>
            <c:numRef>
              <c:f>'Inventory Analysis'!$D$7</c:f>
              <c:numCache>
                <c:formatCode>General</c:formatCode>
                <c:ptCount val="1"/>
                <c:pt idx="0">
                  <c:v>33</c:v>
                </c:pt>
              </c:numCache>
            </c:numRef>
          </c:val>
        </c:ser>
        <c:ser>
          <c:idx val="1"/>
          <c:order val="1"/>
          <c:tx>
            <c:strRef>
              <c:f>'Inventory Analysis'!$C$8</c:f>
              <c:strCache>
                <c:ptCount val="1"/>
                <c:pt idx="0">
                  <c:v>Rum: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errBars>
            <c:errBarType val="both"/>
            <c:errValType val="stdErr"/>
            <c:noEndCap val="0"/>
            <c:spPr>
              <a:noFill/>
              <a:ln w="9525" cap="flat" cmpd="sng" algn="ctr">
                <a:solidFill>
                  <a:schemeClr val="tx1">
                    <a:lumMod val="65000"/>
                    <a:lumOff val="35000"/>
                  </a:schemeClr>
                </a:solidFill>
                <a:round/>
              </a:ln>
              <a:effectLst/>
            </c:spPr>
          </c:errBars>
          <c:cat>
            <c:strRef>
              <c:f>'Inventory Analysis'!$C$7:$C$16</c:f>
              <c:strCache>
                <c:ptCount val="10"/>
                <c:pt idx="0">
                  <c:v>Beer:</c:v>
                </c:pt>
                <c:pt idx="1">
                  <c:v>Rum:</c:v>
                </c:pt>
                <c:pt idx="2">
                  <c:v>Champagne:</c:v>
                </c:pt>
                <c:pt idx="3">
                  <c:v>Liquer:</c:v>
                </c:pt>
                <c:pt idx="4">
                  <c:v>Vodka:</c:v>
                </c:pt>
                <c:pt idx="5">
                  <c:v>Gin:</c:v>
                </c:pt>
                <c:pt idx="6">
                  <c:v>Whiskey:</c:v>
                </c:pt>
                <c:pt idx="7">
                  <c:v>Wine:</c:v>
                </c:pt>
                <c:pt idx="8">
                  <c:v>Cognac:</c:v>
                </c:pt>
                <c:pt idx="9">
                  <c:v>Brandy:</c:v>
                </c:pt>
              </c:strCache>
            </c:strRef>
          </c:cat>
          <c:val>
            <c:numRef>
              <c:f>'Inventory Analysis'!$D$8</c:f>
              <c:numCache>
                <c:formatCode>General</c:formatCode>
                <c:ptCount val="1"/>
                <c:pt idx="0">
                  <c:v>46</c:v>
                </c:pt>
              </c:numCache>
            </c:numRef>
          </c:val>
        </c:ser>
        <c:ser>
          <c:idx val="2"/>
          <c:order val="2"/>
          <c:tx>
            <c:strRef>
              <c:f>'Inventory Analysis'!$C$9</c:f>
              <c:strCache>
                <c:ptCount val="1"/>
                <c:pt idx="0">
                  <c:v>Champagne: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errBars>
            <c:errBarType val="both"/>
            <c:errValType val="stdErr"/>
            <c:noEndCap val="0"/>
            <c:spPr>
              <a:noFill/>
              <a:ln w="9525" cap="flat" cmpd="sng" algn="ctr">
                <a:solidFill>
                  <a:schemeClr val="tx1">
                    <a:lumMod val="65000"/>
                    <a:lumOff val="35000"/>
                  </a:schemeClr>
                </a:solidFill>
                <a:round/>
              </a:ln>
              <a:effectLst/>
            </c:spPr>
          </c:errBars>
          <c:cat>
            <c:strRef>
              <c:f>'Inventory Analysis'!$C$7:$C$16</c:f>
              <c:strCache>
                <c:ptCount val="10"/>
                <c:pt idx="0">
                  <c:v>Beer:</c:v>
                </c:pt>
                <c:pt idx="1">
                  <c:v>Rum:</c:v>
                </c:pt>
                <c:pt idx="2">
                  <c:v>Champagne:</c:v>
                </c:pt>
                <c:pt idx="3">
                  <c:v>Liquer:</c:v>
                </c:pt>
                <c:pt idx="4">
                  <c:v>Vodka:</c:v>
                </c:pt>
                <c:pt idx="5">
                  <c:v>Gin:</c:v>
                </c:pt>
                <c:pt idx="6">
                  <c:v>Whiskey:</c:v>
                </c:pt>
                <c:pt idx="7">
                  <c:v>Wine:</c:v>
                </c:pt>
                <c:pt idx="8">
                  <c:v>Cognac:</c:v>
                </c:pt>
                <c:pt idx="9">
                  <c:v>Brandy:</c:v>
                </c:pt>
              </c:strCache>
            </c:strRef>
          </c:cat>
          <c:val>
            <c:numRef>
              <c:f>'Inventory Analysis'!$D$9</c:f>
              <c:numCache>
                <c:formatCode>General</c:formatCode>
                <c:ptCount val="1"/>
                <c:pt idx="0">
                  <c:v>42</c:v>
                </c:pt>
              </c:numCache>
            </c:numRef>
          </c:val>
        </c:ser>
        <c:ser>
          <c:idx val="3"/>
          <c:order val="3"/>
          <c:tx>
            <c:strRef>
              <c:f>'Inventory Analysis'!$C$10</c:f>
              <c:strCache>
                <c:ptCount val="1"/>
                <c:pt idx="0">
                  <c:v>Liquer: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errBars>
            <c:errBarType val="both"/>
            <c:errValType val="stdErr"/>
            <c:noEndCap val="0"/>
            <c:spPr>
              <a:noFill/>
              <a:ln w="9525" cap="flat" cmpd="sng" algn="ctr">
                <a:solidFill>
                  <a:schemeClr val="tx1">
                    <a:lumMod val="65000"/>
                    <a:lumOff val="35000"/>
                  </a:schemeClr>
                </a:solidFill>
                <a:round/>
              </a:ln>
              <a:effectLst/>
            </c:spPr>
          </c:errBars>
          <c:cat>
            <c:strRef>
              <c:f>'Inventory Analysis'!$C$7:$C$16</c:f>
              <c:strCache>
                <c:ptCount val="10"/>
                <c:pt idx="0">
                  <c:v>Beer:</c:v>
                </c:pt>
                <c:pt idx="1">
                  <c:v>Rum:</c:v>
                </c:pt>
                <c:pt idx="2">
                  <c:v>Champagne:</c:v>
                </c:pt>
                <c:pt idx="3">
                  <c:v>Liquer:</c:v>
                </c:pt>
                <c:pt idx="4">
                  <c:v>Vodka:</c:v>
                </c:pt>
                <c:pt idx="5">
                  <c:v>Gin:</c:v>
                </c:pt>
                <c:pt idx="6">
                  <c:v>Whiskey:</c:v>
                </c:pt>
                <c:pt idx="7">
                  <c:v>Wine:</c:v>
                </c:pt>
                <c:pt idx="8">
                  <c:v>Cognac:</c:v>
                </c:pt>
                <c:pt idx="9">
                  <c:v>Brandy:</c:v>
                </c:pt>
              </c:strCache>
            </c:strRef>
          </c:cat>
          <c:val>
            <c:numRef>
              <c:f>'Inventory Analysis'!$D$10</c:f>
              <c:numCache>
                <c:formatCode>General</c:formatCode>
                <c:ptCount val="1"/>
                <c:pt idx="0">
                  <c:v>42</c:v>
                </c:pt>
              </c:numCache>
            </c:numRef>
          </c:val>
        </c:ser>
        <c:ser>
          <c:idx val="4"/>
          <c:order val="4"/>
          <c:tx>
            <c:strRef>
              <c:f>'Inventory Analysis'!$C$11</c:f>
              <c:strCache>
                <c:ptCount val="1"/>
                <c:pt idx="0">
                  <c:v>Vodka:</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errBars>
            <c:errBarType val="both"/>
            <c:errValType val="stdErr"/>
            <c:noEndCap val="0"/>
            <c:spPr>
              <a:noFill/>
              <a:ln w="9525" cap="flat" cmpd="sng" algn="ctr">
                <a:solidFill>
                  <a:schemeClr val="tx1">
                    <a:lumMod val="65000"/>
                    <a:lumOff val="35000"/>
                  </a:schemeClr>
                </a:solidFill>
                <a:round/>
              </a:ln>
              <a:effectLst/>
            </c:spPr>
          </c:errBars>
          <c:cat>
            <c:strRef>
              <c:f>'Inventory Analysis'!$C$7:$C$16</c:f>
              <c:strCache>
                <c:ptCount val="10"/>
                <c:pt idx="0">
                  <c:v>Beer:</c:v>
                </c:pt>
                <c:pt idx="1">
                  <c:v>Rum:</c:v>
                </c:pt>
                <c:pt idx="2">
                  <c:v>Champagne:</c:v>
                </c:pt>
                <c:pt idx="3">
                  <c:v>Liquer:</c:v>
                </c:pt>
                <c:pt idx="4">
                  <c:v>Vodka:</c:v>
                </c:pt>
                <c:pt idx="5">
                  <c:v>Gin:</c:v>
                </c:pt>
                <c:pt idx="6">
                  <c:v>Whiskey:</c:v>
                </c:pt>
                <c:pt idx="7">
                  <c:v>Wine:</c:v>
                </c:pt>
                <c:pt idx="8">
                  <c:v>Cognac:</c:v>
                </c:pt>
                <c:pt idx="9">
                  <c:v>Brandy:</c:v>
                </c:pt>
              </c:strCache>
            </c:strRef>
          </c:cat>
          <c:val>
            <c:numRef>
              <c:f>'Inventory Analysis'!$D$11</c:f>
              <c:numCache>
                <c:formatCode>General</c:formatCode>
                <c:ptCount val="1"/>
                <c:pt idx="0">
                  <c:v>35</c:v>
                </c:pt>
              </c:numCache>
            </c:numRef>
          </c:val>
        </c:ser>
        <c:ser>
          <c:idx val="5"/>
          <c:order val="5"/>
          <c:tx>
            <c:strRef>
              <c:f>'Inventory Analysis'!$C$12</c:f>
              <c:strCache>
                <c:ptCount val="1"/>
                <c:pt idx="0">
                  <c:v>Gin:</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errBars>
            <c:errBarType val="both"/>
            <c:errValType val="stdErr"/>
            <c:noEndCap val="0"/>
            <c:spPr>
              <a:noFill/>
              <a:ln w="9525" cap="flat" cmpd="sng" algn="ctr">
                <a:solidFill>
                  <a:schemeClr val="tx1">
                    <a:lumMod val="65000"/>
                    <a:lumOff val="35000"/>
                  </a:schemeClr>
                </a:solidFill>
                <a:round/>
              </a:ln>
              <a:effectLst/>
            </c:spPr>
          </c:errBars>
          <c:cat>
            <c:strRef>
              <c:f>'Inventory Analysis'!$C$7:$C$16</c:f>
              <c:strCache>
                <c:ptCount val="10"/>
                <c:pt idx="0">
                  <c:v>Beer:</c:v>
                </c:pt>
                <c:pt idx="1">
                  <c:v>Rum:</c:v>
                </c:pt>
                <c:pt idx="2">
                  <c:v>Champagne:</c:v>
                </c:pt>
                <c:pt idx="3">
                  <c:v>Liquer:</c:v>
                </c:pt>
                <c:pt idx="4">
                  <c:v>Vodka:</c:v>
                </c:pt>
                <c:pt idx="5">
                  <c:v>Gin:</c:v>
                </c:pt>
                <c:pt idx="6">
                  <c:v>Whiskey:</c:v>
                </c:pt>
                <c:pt idx="7">
                  <c:v>Wine:</c:v>
                </c:pt>
                <c:pt idx="8">
                  <c:v>Cognac:</c:v>
                </c:pt>
                <c:pt idx="9">
                  <c:v>Brandy:</c:v>
                </c:pt>
              </c:strCache>
            </c:strRef>
          </c:cat>
          <c:val>
            <c:numRef>
              <c:f>'Inventory Analysis'!$D$12</c:f>
              <c:numCache>
                <c:formatCode>General</c:formatCode>
                <c:ptCount val="1"/>
                <c:pt idx="0">
                  <c:v>41</c:v>
                </c:pt>
              </c:numCache>
            </c:numRef>
          </c:val>
        </c:ser>
        <c:ser>
          <c:idx val="6"/>
          <c:order val="6"/>
          <c:tx>
            <c:strRef>
              <c:f>'Inventory Analysis'!$C$13</c:f>
              <c:strCache>
                <c:ptCount val="1"/>
                <c:pt idx="0">
                  <c:v>Whiskey:</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errBars>
            <c:errBarType val="both"/>
            <c:errValType val="stdErr"/>
            <c:noEndCap val="0"/>
            <c:spPr>
              <a:noFill/>
              <a:ln w="9525" cap="flat" cmpd="sng" algn="ctr">
                <a:solidFill>
                  <a:schemeClr val="tx1">
                    <a:lumMod val="65000"/>
                    <a:lumOff val="35000"/>
                  </a:schemeClr>
                </a:solidFill>
                <a:round/>
              </a:ln>
              <a:effectLst/>
            </c:spPr>
          </c:errBars>
          <c:cat>
            <c:strRef>
              <c:f>'Inventory Analysis'!$C$7:$C$16</c:f>
              <c:strCache>
                <c:ptCount val="10"/>
                <c:pt idx="0">
                  <c:v>Beer:</c:v>
                </c:pt>
                <c:pt idx="1">
                  <c:v>Rum:</c:v>
                </c:pt>
                <c:pt idx="2">
                  <c:v>Champagne:</c:v>
                </c:pt>
                <c:pt idx="3">
                  <c:v>Liquer:</c:v>
                </c:pt>
                <c:pt idx="4">
                  <c:v>Vodka:</c:v>
                </c:pt>
                <c:pt idx="5">
                  <c:v>Gin:</c:v>
                </c:pt>
                <c:pt idx="6">
                  <c:v>Whiskey:</c:v>
                </c:pt>
                <c:pt idx="7">
                  <c:v>Wine:</c:v>
                </c:pt>
                <c:pt idx="8">
                  <c:v>Cognac:</c:v>
                </c:pt>
                <c:pt idx="9">
                  <c:v>Brandy:</c:v>
                </c:pt>
              </c:strCache>
            </c:strRef>
          </c:cat>
          <c:val>
            <c:numRef>
              <c:f>'Inventory Analysis'!$D$13</c:f>
              <c:numCache>
                <c:formatCode>General</c:formatCode>
                <c:ptCount val="1"/>
                <c:pt idx="0">
                  <c:v>31</c:v>
                </c:pt>
              </c:numCache>
            </c:numRef>
          </c:val>
        </c:ser>
        <c:ser>
          <c:idx val="7"/>
          <c:order val="7"/>
          <c:tx>
            <c:strRef>
              <c:f>'Inventory Analysis'!$C$14</c:f>
              <c:strCache>
                <c:ptCount val="1"/>
                <c:pt idx="0">
                  <c:v>Wine:</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errBars>
            <c:errBarType val="both"/>
            <c:errValType val="stdErr"/>
            <c:noEndCap val="0"/>
            <c:spPr>
              <a:noFill/>
              <a:ln w="9525" cap="flat" cmpd="sng" algn="ctr">
                <a:solidFill>
                  <a:schemeClr val="tx1">
                    <a:lumMod val="65000"/>
                    <a:lumOff val="35000"/>
                  </a:schemeClr>
                </a:solidFill>
                <a:round/>
              </a:ln>
              <a:effectLst/>
            </c:spPr>
          </c:errBars>
          <c:cat>
            <c:strRef>
              <c:f>'Inventory Analysis'!$C$7:$C$16</c:f>
              <c:strCache>
                <c:ptCount val="10"/>
                <c:pt idx="0">
                  <c:v>Beer:</c:v>
                </c:pt>
                <c:pt idx="1">
                  <c:v>Rum:</c:v>
                </c:pt>
                <c:pt idx="2">
                  <c:v>Champagne:</c:v>
                </c:pt>
                <c:pt idx="3">
                  <c:v>Liquer:</c:v>
                </c:pt>
                <c:pt idx="4">
                  <c:v>Vodka:</c:v>
                </c:pt>
                <c:pt idx="5">
                  <c:v>Gin:</c:v>
                </c:pt>
                <c:pt idx="6">
                  <c:v>Whiskey:</c:v>
                </c:pt>
                <c:pt idx="7">
                  <c:v>Wine:</c:v>
                </c:pt>
                <c:pt idx="8">
                  <c:v>Cognac:</c:v>
                </c:pt>
                <c:pt idx="9">
                  <c:v>Brandy:</c:v>
                </c:pt>
              </c:strCache>
            </c:strRef>
          </c:cat>
          <c:val>
            <c:numRef>
              <c:f>'Inventory Analysis'!$D$14</c:f>
              <c:numCache>
                <c:formatCode>General</c:formatCode>
                <c:ptCount val="1"/>
                <c:pt idx="0">
                  <c:v>26</c:v>
                </c:pt>
              </c:numCache>
            </c:numRef>
          </c:val>
        </c:ser>
        <c:ser>
          <c:idx val="8"/>
          <c:order val="8"/>
          <c:tx>
            <c:strRef>
              <c:f>'Inventory Analysis'!$C$15</c:f>
              <c:strCache>
                <c:ptCount val="1"/>
                <c:pt idx="0">
                  <c:v>Cognac:</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errBars>
            <c:errBarType val="both"/>
            <c:errValType val="stdErr"/>
            <c:noEndCap val="0"/>
            <c:spPr>
              <a:noFill/>
              <a:ln w="9525" cap="flat" cmpd="sng" algn="ctr">
                <a:solidFill>
                  <a:schemeClr val="tx1">
                    <a:lumMod val="65000"/>
                    <a:lumOff val="35000"/>
                  </a:schemeClr>
                </a:solidFill>
                <a:round/>
              </a:ln>
              <a:effectLst/>
            </c:spPr>
          </c:errBars>
          <c:cat>
            <c:strRef>
              <c:f>'Inventory Analysis'!$C$7:$C$16</c:f>
              <c:strCache>
                <c:ptCount val="10"/>
                <c:pt idx="0">
                  <c:v>Beer:</c:v>
                </c:pt>
                <c:pt idx="1">
                  <c:v>Rum:</c:v>
                </c:pt>
                <c:pt idx="2">
                  <c:v>Champagne:</c:v>
                </c:pt>
                <c:pt idx="3">
                  <c:v>Liquer:</c:v>
                </c:pt>
                <c:pt idx="4">
                  <c:v>Vodka:</c:v>
                </c:pt>
                <c:pt idx="5">
                  <c:v>Gin:</c:v>
                </c:pt>
                <c:pt idx="6">
                  <c:v>Whiskey:</c:v>
                </c:pt>
                <c:pt idx="7">
                  <c:v>Wine:</c:v>
                </c:pt>
                <c:pt idx="8">
                  <c:v>Cognac:</c:v>
                </c:pt>
                <c:pt idx="9">
                  <c:v>Brandy:</c:v>
                </c:pt>
              </c:strCache>
            </c:strRef>
          </c:cat>
          <c:val>
            <c:numRef>
              <c:f>'Inventory Analysis'!$D$15</c:f>
              <c:numCache>
                <c:formatCode>General</c:formatCode>
                <c:ptCount val="1"/>
                <c:pt idx="0">
                  <c:v>44</c:v>
                </c:pt>
              </c:numCache>
            </c:numRef>
          </c:val>
        </c:ser>
        <c:ser>
          <c:idx val="9"/>
          <c:order val="9"/>
          <c:tx>
            <c:strRef>
              <c:f>'Inventory Analysis'!$C$16</c:f>
              <c:strCache>
                <c:ptCount val="1"/>
                <c:pt idx="0">
                  <c:v>Brandy:</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errBars>
            <c:errBarType val="both"/>
            <c:errValType val="stdErr"/>
            <c:noEndCap val="0"/>
            <c:spPr>
              <a:noFill/>
              <a:ln w="9525" cap="flat" cmpd="sng" algn="ctr">
                <a:solidFill>
                  <a:schemeClr val="tx1">
                    <a:lumMod val="65000"/>
                    <a:lumOff val="35000"/>
                  </a:schemeClr>
                </a:solidFill>
                <a:round/>
              </a:ln>
              <a:effectLst/>
            </c:spPr>
          </c:errBars>
          <c:cat>
            <c:strRef>
              <c:f>'Inventory Analysis'!$C$7:$C$16</c:f>
              <c:strCache>
                <c:ptCount val="10"/>
                <c:pt idx="0">
                  <c:v>Beer:</c:v>
                </c:pt>
                <c:pt idx="1">
                  <c:v>Rum:</c:v>
                </c:pt>
                <c:pt idx="2">
                  <c:v>Champagne:</c:v>
                </c:pt>
                <c:pt idx="3">
                  <c:v>Liquer:</c:v>
                </c:pt>
                <c:pt idx="4">
                  <c:v>Vodka:</c:v>
                </c:pt>
                <c:pt idx="5">
                  <c:v>Gin:</c:v>
                </c:pt>
                <c:pt idx="6">
                  <c:v>Whiskey:</c:v>
                </c:pt>
                <c:pt idx="7">
                  <c:v>Wine:</c:v>
                </c:pt>
                <c:pt idx="8">
                  <c:v>Cognac:</c:v>
                </c:pt>
                <c:pt idx="9">
                  <c:v>Brandy:</c:v>
                </c:pt>
              </c:strCache>
            </c:strRef>
          </c:cat>
          <c:val>
            <c:numRef>
              <c:f>'Inventory Analysis'!$D$16</c:f>
              <c:numCache>
                <c:formatCode>General</c:formatCode>
                <c:ptCount val="1"/>
                <c:pt idx="0">
                  <c:v>59</c:v>
                </c:pt>
              </c:numCache>
            </c:numRef>
          </c:val>
        </c:ser>
        <c:dLbls>
          <c:dLblPos val="outEnd"/>
          <c:showLegendKey val="0"/>
          <c:showVal val="1"/>
          <c:showCatName val="0"/>
          <c:showSerName val="0"/>
          <c:showPercent val="0"/>
          <c:showBubbleSize val="0"/>
        </c:dLbls>
        <c:gapWidth val="182"/>
        <c:axId val="384727440"/>
        <c:axId val="384733712"/>
      </c:barChart>
      <c:catAx>
        <c:axId val="384727440"/>
        <c:scaling>
          <c:orientation val="minMax"/>
        </c:scaling>
        <c:delete val="1"/>
        <c:axPos val="l"/>
        <c:numFmt formatCode="General" sourceLinked="1"/>
        <c:majorTickMark val="none"/>
        <c:minorTickMark val="none"/>
        <c:tickLblPos val="nextTo"/>
        <c:crossAx val="384733712"/>
        <c:crosses val="autoZero"/>
        <c:auto val="1"/>
        <c:lblAlgn val="ctr"/>
        <c:lblOffset val="100"/>
        <c:noMultiLvlLbl val="0"/>
      </c:catAx>
      <c:valAx>
        <c:axId val="384733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72744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'Inventory Analysis'!$M$7</c:f>
              <c:strCache>
                <c:ptCount val="1"/>
                <c:pt idx="0">
                  <c:v>Beer: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Analysis'!$N$7</c:f>
              <c:numCache>
                <c:formatCode>#,##0_);\(#,##0\)</c:formatCode>
                <c:ptCount val="1"/>
                <c:pt idx="0">
                  <c:v>6698</c:v>
                </c:pt>
              </c:numCache>
            </c:numRef>
          </c:val>
        </c:ser>
        <c:ser>
          <c:idx val="1"/>
          <c:order val="1"/>
          <c:tx>
            <c:strRef>
              <c:f>'Inventory Analysis'!$M$8</c:f>
              <c:strCache>
                <c:ptCount val="1"/>
                <c:pt idx="0">
                  <c:v>Rum: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Analysis'!$N$8</c:f>
              <c:numCache>
                <c:formatCode>#,##0_);\(#,##0\)</c:formatCode>
                <c:ptCount val="1"/>
                <c:pt idx="0">
                  <c:v>8648</c:v>
                </c:pt>
              </c:numCache>
            </c:numRef>
          </c:val>
        </c:ser>
        <c:ser>
          <c:idx val="2"/>
          <c:order val="2"/>
          <c:tx>
            <c:strRef>
              <c:f>'Inventory Analysis'!$M$9</c:f>
              <c:strCache>
                <c:ptCount val="1"/>
                <c:pt idx="0">
                  <c:v>Champagne: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Analysis'!$N$9</c:f>
              <c:numCache>
                <c:formatCode>#,##0_);\(#,##0\)</c:formatCode>
                <c:ptCount val="1"/>
                <c:pt idx="0">
                  <c:v>8213</c:v>
                </c:pt>
              </c:numCache>
            </c:numRef>
          </c:val>
        </c:ser>
        <c:ser>
          <c:idx val="3"/>
          <c:order val="3"/>
          <c:tx>
            <c:strRef>
              <c:f>'Inventory Analysis'!$M$10</c:f>
              <c:strCache>
                <c:ptCount val="1"/>
                <c:pt idx="0">
                  <c:v>Liquer: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Analysis'!$N$10</c:f>
              <c:numCache>
                <c:formatCode>#,##0_);\(#,##0\)</c:formatCode>
                <c:ptCount val="1"/>
                <c:pt idx="0">
                  <c:v>9053</c:v>
                </c:pt>
              </c:numCache>
            </c:numRef>
          </c:val>
        </c:ser>
        <c:ser>
          <c:idx val="4"/>
          <c:order val="4"/>
          <c:tx>
            <c:strRef>
              <c:f>'Inventory Analysis'!$M$11</c:f>
              <c:strCache>
                <c:ptCount val="1"/>
                <c:pt idx="0">
                  <c:v>Vodka:</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Analysis'!$N$11</c:f>
              <c:numCache>
                <c:formatCode>#,##0_);\(#,##0\)</c:formatCode>
                <c:ptCount val="1"/>
                <c:pt idx="0">
                  <c:v>6605</c:v>
                </c:pt>
              </c:numCache>
            </c:numRef>
          </c:val>
        </c:ser>
        <c:ser>
          <c:idx val="5"/>
          <c:order val="5"/>
          <c:tx>
            <c:strRef>
              <c:f>'Inventory Analysis'!$M$12</c:f>
              <c:strCache>
                <c:ptCount val="1"/>
                <c:pt idx="0">
                  <c:v>Gin:</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Analysis'!$N$12</c:f>
              <c:numCache>
                <c:formatCode>#,##0_);\(#,##0\)</c:formatCode>
                <c:ptCount val="1"/>
                <c:pt idx="0">
                  <c:v>9016</c:v>
                </c:pt>
              </c:numCache>
            </c:numRef>
          </c:val>
        </c:ser>
        <c:ser>
          <c:idx val="6"/>
          <c:order val="6"/>
          <c:tx>
            <c:strRef>
              <c:f>'Inventory Analysis'!$M$13</c:f>
              <c:strCache>
                <c:ptCount val="1"/>
                <c:pt idx="0">
                  <c:v>Whiskey:</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Analysis'!$N$13</c:f>
              <c:numCache>
                <c:formatCode>#,##0_);\(#,##0\)</c:formatCode>
                <c:ptCount val="1"/>
                <c:pt idx="0">
                  <c:v>6971</c:v>
                </c:pt>
              </c:numCache>
            </c:numRef>
          </c:val>
        </c:ser>
        <c:ser>
          <c:idx val="7"/>
          <c:order val="7"/>
          <c:tx>
            <c:strRef>
              <c:f>'Inventory Analysis'!$M$14</c:f>
              <c:strCache>
                <c:ptCount val="1"/>
                <c:pt idx="0">
                  <c:v>Wine:</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Analysis'!$N$14</c:f>
              <c:numCache>
                <c:formatCode>#,##0_);\(#,##0\)</c:formatCode>
                <c:ptCount val="1"/>
                <c:pt idx="0">
                  <c:v>5317</c:v>
                </c:pt>
              </c:numCache>
            </c:numRef>
          </c:val>
        </c:ser>
        <c:ser>
          <c:idx val="8"/>
          <c:order val="8"/>
          <c:tx>
            <c:strRef>
              <c:f>'Inventory Analysis'!$M$15</c:f>
              <c:strCache>
                <c:ptCount val="1"/>
                <c:pt idx="0">
                  <c:v>Cognac:</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Analysis'!$N$15</c:f>
              <c:numCache>
                <c:formatCode>#,##0_);\(#,##0\)</c:formatCode>
                <c:ptCount val="1"/>
                <c:pt idx="0">
                  <c:v>8988</c:v>
                </c:pt>
              </c:numCache>
            </c:numRef>
          </c:val>
        </c:ser>
        <c:ser>
          <c:idx val="9"/>
          <c:order val="9"/>
          <c:tx>
            <c:strRef>
              <c:f>'Inventory Analysis'!$M$16</c:f>
              <c:strCache>
                <c:ptCount val="1"/>
                <c:pt idx="0">
                  <c:v>Brandy:</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Analysis'!$N$16</c:f>
              <c:numCache>
                <c:formatCode>#,##0_);\(#,##0\)</c:formatCode>
                <c:ptCount val="1"/>
                <c:pt idx="0">
                  <c:v>12485</c:v>
                </c:pt>
              </c:numCache>
            </c:numRef>
          </c:val>
        </c:ser>
        <c:dLbls>
          <c:dLblPos val="outEnd"/>
          <c:showLegendKey val="0"/>
          <c:showVal val="1"/>
          <c:showCatName val="0"/>
          <c:showSerName val="0"/>
          <c:showPercent val="0"/>
          <c:showBubbleSize val="0"/>
        </c:dLbls>
        <c:gapWidth val="182"/>
        <c:axId val="384731752"/>
        <c:axId val="384730184"/>
      </c:barChart>
      <c:catAx>
        <c:axId val="384731752"/>
        <c:scaling>
          <c:orientation val="minMax"/>
        </c:scaling>
        <c:delete val="1"/>
        <c:axPos val="l"/>
        <c:numFmt formatCode="General" sourceLinked="1"/>
        <c:majorTickMark val="none"/>
        <c:minorTickMark val="none"/>
        <c:tickLblPos val="nextTo"/>
        <c:crossAx val="384730184"/>
        <c:crosses val="autoZero"/>
        <c:auto val="1"/>
        <c:lblAlgn val="ctr"/>
        <c:lblOffset val="100"/>
        <c:noMultiLvlLbl val="0"/>
      </c:catAx>
      <c:valAx>
        <c:axId val="384730184"/>
        <c:scaling>
          <c:orientation val="minMax"/>
        </c:scaling>
        <c:delete val="0"/>
        <c:axPos val="b"/>
        <c:majorGridlines>
          <c:spPr>
            <a:ln w="9525" cap="flat" cmpd="sng" algn="ctr">
              <a:solidFill>
                <a:schemeClr val="tx1">
                  <a:lumMod val="15000"/>
                  <a:lumOff val="85000"/>
                </a:schemeClr>
              </a:solidFill>
              <a:round/>
            </a:ln>
            <a:effectLst/>
          </c:spPr>
        </c:majorGridlines>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7317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'Inventory Analysis'!$C$23</c:f>
              <c:strCache>
                <c:ptCount val="1"/>
                <c:pt idx="0">
                  <c:v>Beer: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Analysis'!$E$23</c:f>
              <c:numCache>
                <c:formatCode>0%</c:formatCode>
                <c:ptCount val="1"/>
                <c:pt idx="0">
                  <c:v>8.0014222377221417E-2</c:v>
                </c:pt>
              </c:numCache>
            </c:numRef>
          </c:val>
        </c:ser>
        <c:ser>
          <c:idx val="1"/>
          <c:order val="1"/>
          <c:tx>
            <c:strRef>
              <c:f>'Inventory Analysis'!$C$24</c:f>
              <c:strCache>
                <c:ptCount val="1"/>
                <c:pt idx="0">
                  <c:v>Rum: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Analysis'!$E$24</c:f>
              <c:numCache>
                <c:formatCode>0%</c:formatCode>
                <c:ptCount val="1"/>
                <c:pt idx="0">
                  <c:v>0.10328834108353505</c:v>
                </c:pt>
              </c:numCache>
            </c:numRef>
          </c:val>
        </c:ser>
        <c:ser>
          <c:idx val="2"/>
          <c:order val="2"/>
          <c:tx>
            <c:strRef>
              <c:f>'Inventory Analysis'!$C$25</c:f>
              <c:strCache>
                <c:ptCount val="1"/>
                <c:pt idx="0">
                  <c:v>Champagne: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Analysis'!$E$25</c:f>
              <c:numCache>
                <c:formatCode>0%</c:formatCode>
                <c:ptCount val="1"/>
                <c:pt idx="0">
                  <c:v>0.10942349886545592</c:v>
                </c:pt>
              </c:numCache>
            </c:numRef>
          </c:val>
        </c:ser>
        <c:ser>
          <c:idx val="3"/>
          <c:order val="3"/>
          <c:tx>
            <c:strRef>
              <c:f>'Inventory Analysis'!$C$26</c:f>
              <c:strCache>
                <c:ptCount val="1"/>
                <c:pt idx="0">
                  <c:v>Liquer: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Analysis'!$E$26</c:f>
              <c:numCache>
                <c:formatCode>0%</c:formatCode>
                <c:ptCount val="1"/>
                <c:pt idx="0">
                  <c:v>0.11745458135099396</c:v>
                </c:pt>
              </c:numCache>
            </c:numRef>
          </c:val>
        </c:ser>
        <c:ser>
          <c:idx val="4"/>
          <c:order val="4"/>
          <c:tx>
            <c:strRef>
              <c:f>'Inventory Analysis'!$C$27</c:f>
              <c:strCache>
                <c:ptCount val="1"/>
                <c:pt idx="0">
                  <c:v>Vodka:</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Analysis'!$E$27</c:f>
              <c:numCache>
                <c:formatCode>0%</c:formatCode>
                <c:ptCount val="1"/>
                <c:pt idx="0">
                  <c:v>9.5017744657022049E-2</c:v>
                </c:pt>
              </c:numCache>
            </c:numRef>
          </c:val>
        </c:ser>
        <c:ser>
          <c:idx val="5"/>
          <c:order val="5"/>
          <c:tx>
            <c:strRef>
              <c:f>'Inventory Analysis'!$C$28</c:f>
              <c:strCache>
                <c:ptCount val="1"/>
                <c:pt idx="0">
                  <c:v>Gin:</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Analysis'!$E$28</c:f>
              <c:numCache>
                <c:formatCode>0%</c:formatCode>
                <c:ptCount val="1"/>
                <c:pt idx="0">
                  <c:v>8.9178988537486625E-2</c:v>
                </c:pt>
              </c:numCache>
            </c:numRef>
          </c:val>
        </c:ser>
        <c:ser>
          <c:idx val="6"/>
          <c:order val="6"/>
          <c:tx>
            <c:strRef>
              <c:f>'Inventory Analysis'!$C$29</c:f>
              <c:strCache>
                <c:ptCount val="1"/>
                <c:pt idx="0">
                  <c:v>Whiskey:</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Analysis'!$E$29</c:f>
              <c:numCache>
                <c:formatCode>0%</c:formatCode>
                <c:ptCount val="1"/>
                <c:pt idx="0">
                  <c:v>0.10166767525543026</c:v>
                </c:pt>
              </c:numCache>
            </c:numRef>
          </c:val>
        </c:ser>
        <c:ser>
          <c:idx val="7"/>
          <c:order val="7"/>
          <c:tx>
            <c:strRef>
              <c:f>'Inventory Analysis'!$C$30</c:f>
              <c:strCache>
                <c:ptCount val="1"/>
                <c:pt idx="0">
                  <c:v>Wine:</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Analysis'!$E$30</c:f>
              <c:numCache>
                <c:formatCode>0%</c:formatCode>
                <c:ptCount val="1"/>
                <c:pt idx="0">
                  <c:v>0.12182727409852852</c:v>
                </c:pt>
              </c:numCache>
            </c:numRef>
          </c:val>
        </c:ser>
        <c:ser>
          <c:idx val="8"/>
          <c:order val="8"/>
          <c:tx>
            <c:strRef>
              <c:f>'Inventory Analysis'!$C$31</c:f>
              <c:strCache>
                <c:ptCount val="1"/>
                <c:pt idx="0">
                  <c:v>Cognac:</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Analysis'!$E$31</c:f>
              <c:numCache>
                <c:formatCode>0%</c:formatCode>
                <c:ptCount val="1"/>
                <c:pt idx="0">
                  <c:v>9.7711978898530491E-2</c:v>
                </c:pt>
              </c:numCache>
            </c:numRef>
          </c:val>
        </c:ser>
        <c:ser>
          <c:idx val="9"/>
          <c:order val="9"/>
          <c:tx>
            <c:strRef>
              <c:f>'Inventory Analysis'!$C$32</c:f>
              <c:strCache>
                <c:ptCount val="1"/>
                <c:pt idx="0">
                  <c:v>Brandy:</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Analysis'!$E$32</c:f>
              <c:numCache>
                <c:formatCode>0%</c:formatCode>
                <c:ptCount val="1"/>
                <c:pt idx="0">
                  <c:v>8.4415694875795866E-2</c:v>
                </c:pt>
              </c:numCache>
            </c:numRef>
          </c:val>
        </c:ser>
        <c:dLbls>
          <c:dLblPos val="outEnd"/>
          <c:showLegendKey val="0"/>
          <c:showVal val="1"/>
          <c:showCatName val="0"/>
          <c:showSerName val="0"/>
          <c:showPercent val="0"/>
          <c:showBubbleSize val="0"/>
        </c:dLbls>
        <c:gapWidth val="182"/>
        <c:axId val="384726264"/>
        <c:axId val="442185016"/>
      </c:barChart>
      <c:catAx>
        <c:axId val="384726264"/>
        <c:scaling>
          <c:orientation val="minMax"/>
        </c:scaling>
        <c:delete val="1"/>
        <c:axPos val="l"/>
        <c:numFmt formatCode="General" sourceLinked="1"/>
        <c:majorTickMark val="none"/>
        <c:minorTickMark val="none"/>
        <c:tickLblPos val="nextTo"/>
        <c:crossAx val="442185016"/>
        <c:crosses val="autoZero"/>
        <c:auto val="1"/>
        <c:lblAlgn val="ctr"/>
        <c:lblOffset val="100"/>
        <c:noMultiLvlLbl val="0"/>
      </c:catAx>
      <c:valAx>
        <c:axId val="44218501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7262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'Inventory Analysis'!$M$23</c:f>
              <c:strCache>
                <c:ptCount val="1"/>
                <c:pt idx="0">
                  <c:v>Beer: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Analysis'!$O$23</c:f>
              <c:numCache>
                <c:formatCode>0%</c:formatCode>
                <c:ptCount val="1"/>
                <c:pt idx="0">
                  <c:v>6.3847489312197345E-2</c:v>
                </c:pt>
              </c:numCache>
            </c:numRef>
          </c:val>
        </c:ser>
        <c:ser>
          <c:idx val="1"/>
          <c:order val="1"/>
          <c:tx>
            <c:strRef>
              <c:f>'Inventory Analysis'!$M$24</c:f>
              <c:strCache>
                <c:ptCount val="1"/>
                <c:pt idx="0">
                  <c:v>Rum: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Analysis'!$O$24</c:f>
              <c:numCache>
                <c:formatCode>0%</c:formatCode>
                <c:ptCount val="1"/>
                <c:pt idx="0">
                  <c:v>0.11220875539717541</c:v>
                </c:pt>
              </c:numCache>
            </c:numRef>
          </c:val>
        </c:ser>
        <c:ser>
          <c:idx val="2"/>
          <c:order val="2"/>
          <c:tx>
            <c:strRef>
              <c:f>'Inventory Analysis'!$M$25</c:f>
              <c:strCache>
                <c:ptCount val="1"/>
                <c:pt idx="0">
                  <c:v>Champagne: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Analysis'!$O$25</c:f>
              <c:numCache>
                <c:formatCode>0%</c:formatCode>
                <c:ptCount val="1"/>
                <c:pt idx="0">
                  <c:v>0.11693467202325734</c:v>
                </c:pt>
              </c:numCache>
            </c:numRef>
          </c:val>
        </c:ser>
        <c:ser>
          <c:idx val="3"/>
          <c:order val="3"/>
          <c:tx>
            <c:strRef>
              <c:f>'Inventory Analysis'!$M$26</c:f>
              <c:strCache>
                <c:ptCount val="1"/>
                <c:pt idx="0">
                  <c:v>Liquer: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Analysis'!$O$26</c:f>
              <c:numCache>
                <c:formatCode>0%</c:formatCode>
                <c:ptCount val="1"/>
                <c:pt idx="0">
                  <c:v>0.13184556122055138</c:v>
                </c:pt>
              </c:numCache>
            </c:numRef>
          </c:val>
        </c:ser>
        <c:ser>
          <c:idx val="4"/>
          <c:order val="4"/>
          <c:tx>
            <c:strRef>
              <c:f>'Inventory Analysis'!$M$27</c:f>
              <c:strCache>
                <c:ptCount val="1"/>
                <c:pt idx="0">
                  <c:v>Vodka:</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Analysis'!$O$27</c:f>
              <c:numCache>
                <c:formatCode>0%</c:formatCode>
                <c:ptCount val="1"/>
                <c:pt idx="0">
                  <c:v>7.910101660460804E-2</c:v>
                </c:pt>
              </c:numCache>
            </c:numRef>
          </c:val>
        </c:ser>
        <c:ser>
          <c:idx val="5"/>
          <c:order val="5"/>
          <c:tx>
            <c:strRef>
              <c:f>'Inventory Analysis'!$M$28</c:f>
              <c:strCache>
                <c:ptCount val="1"/>
                <c:pt idx="0">
                  <c:v>Gin:</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Analysis'!$O$28</c:f>
              <c:numCache>
                <c:formatCode>0%</c:formatCode>
                <c:ptCount val="1"/>
                <c:pt idx="0">
                  <c:v>9.6382047317184125E-2</c:v>
                </c:pt>
              </c:numCache>
            </c:numRef>
          </c:val>
        </c:ser>
        <c:ser>
          <c:idx val="6"/>
          <c:order val="6"/>
          <c:tx>
            <c:strRef>
              <c:f>'Inventory Analysis'!$M$29</c:f>
              <c:strCache>
                <c:ptCount val="1"/>
                <c:pt idx="0">
                  <c:v>Whiskey:</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Analysis'!$O$29</c:f>
              <c:numCache>
                <c:formatCode>0%</c:formatCode>
                <c:ptCount val="1"/>
                <c:pt idx="0">
                  <c:v>8.4925595214429453E-2</c:v>
                </c:pt>
              </c:numCache>
            </c:numRef>
          </c:val>
        </c:ser>
        <c:ser>
          <c:idx val="7"/>
          <c:order val="7"/>
          <c:tx>
            <c:strRef>
              <c:f>'Inventory Analysis'!$M$30</c:f>
              <c:strCache>
                <c:ptCount val="1"/>
                <c:pt idx="0">
                  <c:v>Wine:</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Analysis'!$O$30</c:f>
              <c:numCache>
                <c:formatCode>0%</c:formatCode>
                <c:ptCount val="1"/>
                <c:pt idx="0">
                  <c:v>8.3322637237280034E-2</c:v>
                </c:pt>
              </c:numCache>
            </c:numRef>
          </c:val>
        </c:ser>
        <c:ser>
          <c:idx val="8"/>
          <c:order val="8"/>
          <c:tx>
            <c:strRef>
              <c:f>'Inventory Analysis'!$M$31</c:f>
              <c:strCache>
                <c:ptCount val="1"/>
                <c:pt idx="0">
                  <c:v>Cognac:</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Analysis'!$O$31</c:f>
              <c:numCache>
                <c:formatCode>0%</c:formatCode>
                <c:ptCount val="1"/>
                <c:pt idx="0">
                  <c:v>0.10386012406899436</c:v>
                </c:pt>
              </c:numCache>
            </c:numRef>
          </c:val>
        </c:ser>
        <c:ser>
          <c:idx val="9"/>
          <c:order val="9"/>
          <c:tx>
            <c:strRef>
              <c:f>'Inventory Analysis'!$M$32</c:f>
              <c:strCache>
                <c:ptCount val="1"/>
                <c:pt idx="0">
                  <c:v>Brandy:</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'Inventory Analysis'!$O$32</c:f>
              <c:numCache>
                <c:formatCode>0%</c:formatCode>
                <c:ptCount val="1"/>
                <c:pt idx="0">
                  <c:v>0.12757210160432242</c:v>
                </c:pt>
              </c:numCache>
            </c:numRef>
          </c:val>
        </c:ser>
        <c:dLbls>
          <c:dLblPos val="outEnd"/>
          <c:showLegendKey val="0"/>
          <c:showVal val="1"/>
          <c:showCatName val="0"/>
          <c:showSerName val="0"/>
          <c:showPercent val="0"/>
          <c:showBubbleSize val="0"/>
        </c:dLbls>
        <c:gapWidth val="182"/>
        <c:axId val="442176392"/>
        <c:axId val="442176784"/>
      </c:barChart>
      <c:catAx>
        <c:axId val="442176392"/>
        <c:scaling>
          <c:orientation val="minMax"/>
        </c:scaling>
        <c:delete val="1"/>
        <c:axPos val="l"/>
        <c:numFmt formatCode="General" sourceLinked="1"/>
        <c:majorTickMark val="none"/>
        <c:minorTickMark val="none"/>
        <c:tickLblPos val="nextTo"/>
        <c:crossAx val="442176784"/>
        <c:crosses val="autoZero"/>
        <c:auto val="1"/>
        <c:lblAlgn val="ctr"/>
        <c:lblOffset val="100"/>
        <c:noMultiLvlLbl val="0"/>
      </c:catAx>
      <c:valAx>
        <c:axId val="44217678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17639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chemeClr val="tx2">
                    <a:lumMod val="50000"/>
                  </a:schemeClr>
                </a:solidFill>
              </a:rPr>
              <a:t>Sales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'Location Sales'!$B$17</c:f>
              <c:strCache>
                <c:ptCount val="1"/>
                <c:pt idx="0">
                  <c:v>St. Pete</c:v>
                </c:pt>
              </c:strCache>
            </c:strRef>
          </c:tx>
          <c:spPr>
            <a:ln w="28575" cap="rnd">
              <a:solidFill>
                <a:schemeClr val="accent2"/>
              </a:solidFill>
              <a:round/>
            </a:ln>
            <a:effectLst/>
          </c:spPr>
          <c:marker>
            <c:symbol val="triangle"/>
            <c:size val="6"/>
            <c:spPr>
              <a:solidFill>
                <a:schemeClr val="accent2"/>
              </a:solidFill>
              <a:ln w="9525">
                <a:solidFill>
                  <a:schemeClr val="accent2"/>
                </a:solidFill>
              </a:ln>
              <a:effectLst/>
            </c:spPr>
          </c:marker>
          <c:cat>
            <c:strRef>
              <c:f>'Location Sales'!$C$5:$C$16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'Location Sales'!$D$17:$D$28</c:f>
              <c:numCache>
                <c:formatCode>"$"#,##0</c:formatCode>
                <c:ptCount val="12"/>
                <c:pt idx="0">
                  <c:v>189276</c:v>
                </c:pt>
                <c:pt idx="1">
                  <c:v>182635</c:v>
                </c:pt>
                <c:pt idx="2">
                  <c:v>151973</c:v>
                </c:pt>
                <c:pt idx="3">
                  <c:v>297738</c:v>
                </c:pt>
                <c:pt idx="4">
                  <c:v>232284</c:v>
                </c:pt>
                <c:pt idx="5">
                  <c:v>178678</c:v>
                </c:pt>
                <c:pt idx="6">
                  <c:v>205420</c:v>
                </c:pt>
                <c:pt idx="7">
                  <c:v>274089</c:v>
                </c:pt>
                <c:pt idx="8">
                  <c:v>317175</c:v>
                </c:pt>
                <c:pt idx="9">
                  <c:v>198789</c:v>
                </c:pt>
                <c:pt idx="10">
                  <c:v>181078</c:v>
                </c:pt>
                <c:pt idx="11">
                  <c:v>306670</c:v>
                </c:pt>
              </c:numCache>
            </c:numRef>
          </c:val>
          <c:smooth val="0"/>
        </c:ser>
        <c:ser>
          <c:idx val="2"/>
          <c:order val="1"/>
          <c:tx>
            <c:strRef>
              <c:f>'Location Sales'!$B$29</c:f>
              <c:strCache>
                <c:ptCount val="1"/>
                <c:pt idx="0">
                  <c:v>Orlando</c:v>
                </c:pt>
              </c:strCache>
            </c:strRef>
          </c:tx>
          <c:spPr>
            <a:ln w="28575" cap="rnd">
              <a:solidFill>
                <a:schemeClr val="accent1">
                  <a:lumMod val="75000"/>
                </a:schemeClr>
              </a:solidFill>
              <a:round/>
            </a:ln>
            <a:effectLst/>
          </c:spPr>
          <c:marker>
            <c:symbol val="square"/>
            <c:size val="6"/>
            <c:spPr>
              <a:solidFill>
                <a:schemeClr val="accent1">
                  <a:lumMod val="75000"/>
                </a:schemeClr>
              </a:solidFill>
              <a:ln w="9525">
                <a:solidFill>
                  <a:schemeClr val="accent3"/>
                </a:solidFill>
              </a:ln>
              <a:effectLst/>
            </c:spPr>
          </c:marker>
          <c:cat>
            <c:strRef>
              <c:f>'Location Sales'!$C$5:$C$16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'Location Sales'!$D$29:$D$40</c:f>
              <c:numCache>
                <c:formatCode>"$"#,##0</c:formatCode>
                <c:ptCount val="12"/>
                <c:pt idx="0">
                  <c:v>276801</c:v>
                </c:pt>
                <c:pt idx="1">
                  <c:v>164630</c:v>
                </c:pt>
                <c:pt idx="2">
                  <c:v>237568</c:v>
                </c:pt>
                <c:pt idx="3">
                  <c:v>241053</c:v>
                </c:pt>
                <c:pt idx="4">
                  <c:v>162256</c:v>
                </c:pt>
                <c:pt idx="5">
                  <c:v>185111</c:v>
                </c:pt>
                <c:pt idx="6">
                  <c:v>348427</c:v>
                </c:pt>
                <c:pt idx="7">
                  <c:v>229450</c:v>
                </c:pt>
                <c:pt idx="8">
                  <c:v>311776</c:v>
                </c:pt>
                <c:pt idx="9">
                  <c:v>190984</c:v>
                </c:pt>
                <c:pt idx="10">
                  <c:v>229202</c:v>
                </c:pt>
                <c:pt idx="11">
                  <c:v>322907</c:v>
                </c:pt>
              </c:numCache>
            </c:numRef>
          </c:val>
          <c:smooth val="0"/>
        </c:ser>
        <c:ser>
          <c:idx val="3"/>
          <c:order val="2"/>
          <c:tx>
            <c:strRef>
              <c:f>'Location Sales'!$B$5</c:f>
              <c:strCache>
                <c:ptCount val="1"/>
                <c:pt idx="0">
                  <c:v>Tampa</c:v>
                </c:pt>
              </c:strCache>
            </c:strRef>
          </c:tx>
          <c:spPr>
            <a:ln w="28575" cap="rnd">
              <a:solidFill>
                <a:schemeClr val="accent4"/>
              </a:solidFill>
              <a:round/>
            </a:ln>
            <a:effectLst/>
          </c:spPr>
          <c:marker>
            <c:symbol val="diamond"/>
            <c:size val="7"/>
            <c:spPr>
              <a:solidFill>
                <a:schemeClr val="accent4"/>
              </a:solidFill>
              <a:ln w="9525">
                <a:solidFill>
                  <a:schemeClr val="accent4"/>
                </a:solidFill>
              </a:ln>
              <a:effectLst/>
            </c:spPr>
          </c:marker>
          <c:cat>
            <c:strRef>
              <c:f>'Location Sales'!$C$5:$C$16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'Location Sales'!$D$5:$D$16</c:f>
              <c:numCache>
                <c:formatCode>"$"#,##0</c:formatCode>
                <c:ptCount val="12"/>
                <c:pt idx="0">
                  <c:v>301730</c:v>
                </c:pt>
                <c:pt idx="1">
                  <c:v>222997</c:v>
                </c:pt>
                <c:pt idx="2">
                  <c:v>190628</c:v>
                </c:pt>
                <c:pt idx="3">
                  <c:v>170727</c:v>
                </c:pt>
                <c:pt idx="4">
                  <c:v>275106</c:v>
                </c:pt>
                <c:pt idx="5">
                  <c:v>306023</c:v>
                </c:pt>
                <c:pt idx="6">
                  <c:v>259096</c:v>
                </c:pt>
                <c:pt idx="7">
                  <c:v>252742</c:v>
                </c:pt>
                <c:pt idx="8">
                  <c:v>187474</c:v>
                </c:pt>
                <c:pt idx="9">
                  <c:v>270859</c:v>
                </c:pt>
                <c:pt idx="10">
                  <c:v>195094</c:v>
                </c:pt>
                <c:pt idx="11">
                  <c:v>251324</c:v>
                </c:pt>
              </c:numCache>
            </c:numRef>
          </c:val>
          <c:smooth val="0"/>
        </c:ser>
        <c:dLbls>
          <c:showLegendKey val="0"/>
          <c:showVal val="0"/>
          <c:showCatName val="0"/>
          <c:showSerName val="0"/>
          <c:showPercent val="0"/>
          <c:showBubbleSize val="0"/>
        </c:dLbls>
        <c:marker val="1"/>
        <c:smooth val="0"/>
        <c:axId val="442180312"/>
        <c:axId val="442175608"/>
      </c:lineChart>
      <c:catAx>
        <c:axId val="442180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175608"/>
        <c:crosses val="autoZero"/>
        <c:auto val="1"/>
        <c:lblAlgn val="ctr"/>
        <c:lblOffset val="100"/>
        <c:noMultiLvlLbl val="0"/>
      </c:catAx>
      <c:valAx>
        <c:axId val="4421756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180312"/>
        <c:crosses val="autoZero"/>
        <c:crossBetween val="between"/>
      </c:valAx>
      <c:dTable>
        <c:showHorzBorder val="1"/>
        <c:showVertBorder val="1"/>
        <c:showOutline val="1"/>
        <c:showKeys val="1"/>
        <c:spPr>
          <a:noFill/>
          <a:ln w="25400" cap="flat" cmpd="sng" algn="ctr">
            <a:no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[ShyamParmar_LiquorStore_Portfolio.xlsm]Location Sales!PivotTable2</c:name>
    <c:fmtId val="0"/>
  </c:pivotSource>
  <c:chart>
    <c:title>
      <c:tx>
        <c:rich>
          <a:bodyPr rot="0" spcFirstLastPara="1" vertOverflow="ellipsis" vert="horz" wrap="square" anchor="ctr" anchorCtr="1"/>
          <a:lstStyle/>
          <a:p>
            <a:pPr>
              <a:defRPr sz="1400" b="1" i="0" u="none" strike="noStrike" kern="1200" spc="0" baseline="0">
                <a:solidFill>
                  <a:schemeClr val="tx2">
                    <a:lumMod val="50000"/>
                  </a:schemeClr>
                </a:solidFill>
                <a:latin typeface="+mn-lt"/>
                <a:ea typeface="+mn-ea"/>
                <a:cs typeface="+mn-cs"/>
              </a:defRPr>
            </a:pPr>
            <a:r>
              <a:rPr lang="en-US" b="1">
                <a:solidFill>
                  <a:schemeClr val="tx2">
                    <a:lumMod val="50000"/>
                  </a:schemeClr>
                </a:solidFill>
              </a:rPr>
              <a:t>Total Monthly Sales</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2">
                  <a:lumMod val="50000"/>
                </a:schemeClr>
              </a:solidFill>
              <a:latin typeface="+mn-lt"/>
              <a:ea typeface="+mn-ea"/>
              <a:cs typeface="+mn-cs"/>
            </a:defRPr>
          </a:pPr>
          <a:endParaRPr lang="en-US"/>
        </a:p>
      </c:txPr>
    </c:title>
    <c:autoTitleDeleted val="0"/>
    <c:pivotFmts>
      <c:pivotFmt>
        <c:idx val="0"/>
        <c:spPr>
          <a:solidFill>
            <a:schemeClr val="tx2">
              <a:lumMod val="75000"/>
            </a:schemeClr>
          </a:solidFill>
          <a:ln>
            <a:noFill/>
          </a:ln>
          <a:effectLst/>
        </c:spPr>
        <c:marker>
          <c:symbol val="none"/>
        </c:marker>
      </c:pivotFmt>
    </c:pivotFmts>
    <c:plotArea>
      <c:layout/>
      <c:barChart>
        <c:barDir val="col"/>
        <c:grouping val="clustered"/>
        <c:varyColors val="0"/>
        <c:ser>
          <c:idx val="0"/>
          <c:order val="0"/>
          <c:tx>
            <c:strRef>
              <c:f>'Location Sales'!$H$27</c:f>
              <c:strCache>
                <c:ptCount val="1"/>
                <c:pt idx="0">
                  <c:v>Total</c:v>
                </c:pt>
              </c:strCache>
            </c:strRef>
          </c:tx>
          <c:spPr>
            <a:solidFill>
              <a:schemeClr val="tx2">
                <a:lumMod val="75000"/>
              </a:schemeClr>
            </a:solidFill>
            <a:ln>
              <a:noFill/>
            </a:ln>
            <a:effectLst/>
          </c:spPr>
          <c:invertIfNegative val="0"/>
          <c:cat>
            <c:strRef>
              <c:f>'Location Sales'!$G$28:$G$40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'Location Sales'!$H$28:$H$40</c:f>
              <c:numCache>
                <c:formatCode>"$"#,##0</c:formatCode>
                <c:ptCount val="12"/>
                <c:pt idx="0">
                  <c:v>767807</c:v>
                </c:pt>
                <c:pt idx="1">
                  <c:v>570262</c:v>
                </c:pt>
                <c:pt idx="2">
                  <c:v>580169</c:v>
                </c:pt>
                <c:pt idx="3">
                  <c:v>709518</c:v>
                </c:pt>
                <c:pt idx="4">
                  <c:v>669646</c:v>
                </c:pt>
                <c:pt idx="5">
                  <c:v>669812</c:v>
                </c:pt>
                <c:pt idx="6">
                  <c:v>812943</c:v>
                </c:pt>
                <c:pt idx="7">
                  <c:v>756281</c:v>
                </c:pt>
                <c:pt idx="8">
                  <c:v>816425</c:v>
                </c:pt>
                <c:pt idx="9">
                  <c:v>660632</c:v>
                </c:pt>
                <c:pt idx="10">
                  <c:v>605374</c:v>
                </c:pt>
                <c:pt idx="11">
                  <c:v>880901</c:v>
                </c:pt>
              </c:numCache>
            </c:numRef>
          </c:val>
        </c:ser>
        <c:dLbls>
          <c:showLegendKey val="0"/>
          <c:showVal val="0"/>
          <c:showCatName val="0"/>
          <c:showSerName val="0"/>
          <c:showPercent val="0"/>
          <c:showBubbleSize val="0"/>
        </c:dLbls>
        <c:gapWidth val="60"/>
        <c:axId val="442177960"/>
        <c:axId val="442177176"/>
      </c:barChart>
      <c:catAx>
        <c:axId val="442177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177176"/>
        <c:crosses val="autoZero"/>
        <c:auto val="1"/>
        <c:lblAlgn val="ctr"/>
        <c:lblOffset val="100"/>
        <c:noMultiLvlLbl val="0"/>
      </c:catAx>
      <c:valAx>
        <c:axId val="4421771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177960"/>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50000"/>
                  </a:schemeClr>
                </a:solidFill>
              </a:rPr>
              <a:t>Customer</a:t>
            </a:r>
            <a:r>
              <a:rPr lang="en-US" b="1" baseline="0">
                <a:solidFill>
                  <a:schemeClr val="tx2">
                    <a:lumMod val="50000"/>
                  </a:schemeClr>
                </a:solidFill>
              </a:rPr>
              <a:t> Review Gauge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ln w="38100"/>
            <a:effectLst>
              <a:innerShdw blurRad="63500" dist="50800" dir="5400000">
                <a:prstClr val="black">
                  <a:alpha val="50000"/>
                </a:prstClr>
              </a:innerShdw>
            </a:effectLst>
          </c:spPr>
          <c:dPt>
            <c:idx val="0"/>
            <c:bubble3D val="0"/>
            <c:spPr>
              <a:gradFill flip="none" rotWithShape="1">
                <a:gsLst>
                  <a:gs pos="0">
                    <a:srgbClr val="C00000">
                      <a:shade val="30000"/>
                      <a:satMod val="115000"/>
                    </a:srgbClr>
                  </a:gs>
                  <a:gs pos="50000">
                    <a:srgbClr val="C00000">
                      <a:shade val="67500"/>
                      <a:satMod val="115000"/>
                    </a:srgbClr>
                  </a:gs>
                  <a:gs pos="100000">
                    <a:srgbClr val="C00000">
                      <a:shade val="100000"/>
                      <a:satMod val="115000"/>
                    </a:srgbClr>
                  </a:gs>
                </a:gsLst>
                <a:lin ang="16200000" scaled="1"/>
                <a:tileRect/>
              </a:gradFill>
              <a:ln w="38100">
                <a:solidFill>
                  <a:schemeClr val="lt1"/>
                </a:solidFill>
              </a:ln>
              <a:effectLst>
                <a:innerShdw blurRad="63500" dist="50800" dir="5400000">
                  <a:prstClr val="black">
                    <a:alpha val="50000"/>
                  </a:prstClr>
                </a:innerShdw>
              </a:effectLst>
            </c:spPr>
          </c:dPt>
          <c:dPt>
            <c:idx val="1"/>
            <c:bubble3D val="0"/>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38100">
                <a:solidFill>
                  <a:schemeClr val="lt1"/>
                </a:solidFill>
              </a:ln>
              <a:effectLst>
                <a:innerShdw blurRad="63500" dist="50800" dir="5400000">
                  <a:prstClr val="black">
                    <a:alpha val="50000"/>
                  </a:prstClr>
                </a:innerShdw>
              </a:effectLst>
            </c:spPr>
          </c:dPt>
          <c:dPt>
            <c:idx val="2"/>
            <c:bubble3D val="0"/>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6200000" scaled="1"/>
                <a:tileRect/>
              </a:gradFill>
              <a:ln w="38100">
                <a:solidFill>
                  <a:schemeClr val="lt1"/>
                </a:solidFill>
              </a:ln>
              <a:effectLst>
                <a:innerShdw blurRad="63500" dist="50800" dir="5400000">
                  <a:prstClr val="black">
                    <a:alpha val="50000"/>
                  </a:prstClr>
                </a:innerShdw>
              </a:effectLst>
            </c:spPr>
          </c:dPt>
          <c:dPt>
            <c:idx val="3"/>
            <c:bubble3D val="0"/>
            <c:spPr>
              <a:gradFill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16200000" scaled="1"/>
                <a:tileRect/>
              </a:gradFill>
              <a:ln w="38100">
                <a:solidFill>
                  <a:schemeClr val="lt1"/>
                </a:solidFill>
              </a:ln>
              <a:effectLst>
                <a:innerShdw blurRad="63500" dist="50800" dir="5400000">
                  <a:prstClr val="black">
                    <a:alpha val="50000"/>
                  </a:prstClr>
                </a:innerShdw>
              </a:effectLst>
            </c:spPr>
          </c:dPt>
          <c:dPt>
            <c:idx val="4"/>
            <c:bubble3D val="0"/>
            <c:spPr>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6200000" scaled="1"/>
                <a:tileRect/>
              </a:gradFill>
              <a:ln w="38100">
                <a:solidFill>
                  <a:schemeClr val="lt1"/>
                </a:solidFill>
              </a:ln>
              <a:effectLst>
                <a:innerShdw blurRad="63500" dist="50800" dir="5400000">
                  <a:prstClr val="black">
                    <a:alpha val="50000"/>
                  </a:prstClr>
                </a:innerShdw>
              </a:effectLst>
            </c:spPr>
          </c:dPt>
          <c:dPt>
            <c:idx val="5"/>
            <c:bubble3D val="0"/>
            <c:spPr>
              <a:noFill/>
              <a:ln w="38100">
                <a:solidFill>
                  <a:schemeClr val="lt1"/>
                </a:solidFill>
              </a:ln>
              <a:effectLst>
                <a:innerShdw blurRad="63500" dist="50800" dir="5400000">
                  <a:prstClr val="black">
                    <a:alpha val="50000"/>
                  </a:prstClr>
                </a:innerShdw>
              </a:effectLst>
            </c:spPr>
          </c:dPt>
          <c:val>
            <c:numLit>
              <c:formatCode>General</c:formatCode>
              <c:ptCount val="6"/>
              <c:pt idx="0">
                <c:v>1</c:v>
              </c:pt>
              <c:pt idx="1">
                <c:v>1</c:v>
              </c:pt>
              <c:pt idx="2">
                <c:v>1</c:v>
              </c:pt>
              <c:pt idx="3">
                <c:v>1</c:v>
              </c:pt>
              <c:pt idx="4">
                <c:v>1</c:v>
              </c:pt>
              <c:pt idx="5">
                <c:v>5</c:v>
              </c:pt>
            </c:numLit>
          </c:val>
        </c:ser>
        <c:dLbls>
          <c:showLegendKey val="0"/>
          <c:showVal val="0"/>
          <c:showCatName val="0"/>
          <c:showSerName val="0"/>
          <c:showPercent val="0"/>
          <c:showBubbleSize val="0"/>
          <c:showLeaderLines val="1"/>
        </c:dLbls>
        <c:firstSliceAng val="270"/>
        <c:holeSize val="35"/>
      </c:doughnutChart>
      <c:pieChart>
        <c:varyColors val="1"/>
        <c:ser>
          <c:idx val="1"/>
          <c:order val="1"/>
          <c:spPr>
            <a:ln>
              <a:noFill/>
            </a:ln>
            <a:effectLst>
              <a:innerShdw blurRad="63500" dist="50800" dir="5400000">
                <a:prstClr val="black">
                  <a:alpha val="50000"/>
                </a:prstClr>
              </a:innerShdw>
            </a:effectLst>
            <a:scene3d>
              <a:camera prst="orthographicFront"/>
              <a:lightRig rig="threePt" dir="t"/>
            </a:scene3d>
            <a:sp3d>
              <a:bevelT/>
            </a:sp3d>
          </c:spPr>
          <c:dPt>
            <c:idx val="0"/>
            <c:bubble3D val="0"/>
            <c:spPr>
              <a:noFill/>
              <a:ln w="19050">
                <a:noFill/>
              </a:ln>
              <a:effectLst>
                <a:innerShdw blurRad="63500" dist="50800" dir="5400000">
                  <a:prstClr val="black">
                    <a:alpha val="50000"/>
                  </a:prstClr>
                </a:innerShdw>
              </a:effectLst>
            </c:spPr>
          </c:dPt>
          <c:dPt>
            <c:idx val="1"/>
            <c:bubble3D val="0"/>
            <c:spPr>
              <a:solidFill>
                <a:schemeClr val="accent1">
                  <a:lumMod val="50000"/>
                </a:schemeClr>
              </a:solidFill>
              <a:ln w="19050">
                <a:noFill/>
              </a:ln>
              <a:effectLst>
                <a:outerShdw blurRad="50800" dist="38100" dir="13500000" algn="br" rotWithShape="0">
                  <a:prstClr val="black">
                    <a:alpha val="40000"/>
                  </a:prstClr>
                </a:outerShdw>
              </a:effectLst>
              <a:scene3d>
                <a:camera prst="orthographicFront"/>
                <a:lightRig rig="threePt" dir="t"/>
              </a:scene3d>
              <a:sp3d>
                <a:bevelT/>
              </a:sp3d>
            </c:spPr>
          </c:dPt>
          <c:dPt>
            <c:idx val="2"/>
            <c:bubble3D val="0"/>
            <c:spPr>
              <a:noFill/>
              <a:ln w="19050">
                <a:noFill/>
              </a:ln>
              <a:effectLst>
                <a:innerShdw blurRad="63500" dist="50800" dir="5400000">
                  <a:prstClr val="black">
                    <a:alpha val="50000"/>
                  </a:prstClr>
                </a:innerShdw>
              </a:effectLst>
            </c:spPr>
          </c:dPt>
          <c:val>
            <c:numRef>
              <c:f>'Customer Reviews'!$Q$4:$Q$6</c:f>
              <c:numCache>
                <c:formatCode>0.0%</c:formatCode>
                <c:ptCount val="3"/>
                <c:pt idx="0" formatCode="0%">
                  <c:v>0.5</c:v>
                </c:pt>
                <c:pt idx="1">
                  <c:v>0.01</c:v>
                </c:pt>
                <c:pt idx="2" formatCode="0.00%">
                  <c:v>1.49</c:v>
                </c:pt>
              </c:numCache>
            </c:numRef>
          </c:val>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5" fmlaLink="WIP!$B$5" fmlaRange="WIPproducts" noThreeD="1" sel="1" val="2"/>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checked="Checked" firstButton="1" fmlaLink="WIP!$C$5"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CheckBox" fmlaLink="WIP!$D$5"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jp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chart" Target="../charts/chart12.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9.png"/></Relationships>
</file>

<file path=xl/drawings/drawing1.xml><?xml version="1.0" encoding="utf-8"?>
<xdr:wsDr xmlns:xdr="http://schemas.openxmlformats.org/drawingml/2006/spreadsheetDrawing" xmlns:a="http://schemas.openxmlformats.org/drawingml/2006/main">
  <xdr:oneCellAnchor>
    <xdr:from>
      <xdr:col>1</xdr:col>
      <xdr:colOff>117827</xdr:colOff>
      <xdr:row>5</xdr:row>
      <xdr:rowOff>95250</xdr:rowOff>
    </xdr:from>
    <xdr:ext cx="12657137" cy="2174698"/>
    <xdr:sp macro="" textlink="">
      <xdr:nvSpPr>
        <xdr:cNvPr id="2" name="TextBox 1"/>
        <xdr:cNvSpPr txBox="1"/>
      </xdr:nvSpPr>
      <xdr:spPr>
        <a:xfrm>
          <a:off x="717549" y="758472"/>
          <a:ext cx="12657137" cy="2174698"/>
        </a:xfrm>
        <a:prstGeom prst="rect">
          <a:avLst/>
        </a:prstGeom>
        <a:gradFill>
          <a:gsLst>
            <a:gs pos="0">
              <a:schemeClr val="accent4">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u="sng"/>
            <a:t>Project </a:t>
          </a:r>
          <a:r>
            <a:rPr lang="en-US" sz="1200" b="1" u="sng" baseline="0"/>
            <a:t>Information</a:t>
          </a:r>
        </a:p>
        <a:p>
          <a:r>
            <a:rPr lang="en-US" sz="1100" baseline="0"/>
            <a:t>The project scope is using excel to determine financial needs, data collection and analysis of a liquor store. </a:t>
          </a:r>
        </a:p>
        <a:p>
          <a:endParaRPr lang="en-US" sz="1100" baseline="0"/>
        </a:p>
        <a:p>
          <a:r>
            <a:rPr lang="en-US" sz="1100" b="1" u="sng" baseline="0"/>
            <a:t>Story</a:t>
          </a:r>
        </a:p>
        <a:p>
          <a:r>
            <a:rPr lang="en-US" sz="1100" baseline="0"/>
            <a:t>The story is about a liqour store start up. The objective is to figure out the what the is best investment for the store. This also includes certain scenario situations that help in making decisions. </a:t>
          </a:r>
        </a:p>
        <a:p>
          <a:r>
            <a:rPr lang="en-US" sz="1100" baseline="0"/>
            <a:t>Once the store is up and running, data gets collected and used analysis on the business' health. Analysis includes - performing data cleaning, financial and inventory analysis.</a:t>
          </a:r>
        </a:p>
        <a:p>
          <a:r>
            <a:rPr lang="en-US" sz="1100" baseline="0"/>
            <a:t>Once profits are made, the store is expanded to other locations, and data is collected to perform analysis on all store locations. Eventually there is a budget cut for payroll due to a pandemic, because the store is not earning enough profits.</a:t>
          </a:r>
        </a:p>
        <a:p>
          <a:r>
            <a:rPr lang="en-US" sz="1100" baseline="0"/>
            <a:t>Finally creating a Rewards Member Program and collecting customer data, to make analysis based on their shopping habits. </a:t>
          </a:r>
        </a:p>
        <a:p>
          <a:endParaRPr lang="en-US" sz="1100" baseline="0"/>
        </a:p>
        <a:p>
          <a:r>
            <a:rPr lang="en-US" sz="1100" b="1" u="sng" baseline="0"/>
            <a:t>Documentation</a:t>
          </a:r>
        </a:p>
        <a:p>
          <a:r>
            <a:rPr lang="en-US" sz="1100" b="0" u="none" baseline="0"/>
            <a:t>Project documentation is provided below on </a:t>
          </a:r>
          <a:r>
            <a:rPr lang="en-US" sz="1100" b="1" u="sng" baseline="0">
              <a:solidFill>
                <a:srgbClr val="FF0000"/>
              </a:solidFill>
            </a:rPr>
            <a:t>Row 36</a:t>
          </a:r>
          <a:r>
            <a:rPr lang="en-US" sz="1100" b="0" u="none" baseline="0"/>
            <a:t>.</a:t>
          </a:r>
        </a:p>
      </xdr:txBody>
    </xdr:sp>
    <xdr:clientData/>
  </xdr:oneCellAnchor>
  <xdr:oneCellAnchor>
    <xdr:from>
      <xdr:col>3</xdr:col>
      <xdr:colOff>226459</xdr:colOff>
      <xdr:row>18</xdr:row>
      <xdr:rowOff>62693</xdr:rowOff>
    </xdr:from>
    <xdr:ext cx="7132320" cy="2103120"/>
    <xdr:sp macro="" textlink="">
      <xdr:nvSpPr>
        <xdr:cNvPr id="3" name="TextBox 2"/>
        <xdr:cNvSpPr txBox="1"/>
      </xdr:nvSpPr>
      <xdr:spPr>
        <a:xfrm>
          <a:off x="3718959" y="3083479"/>
          <a:ext cx="7132320" cy="2103120"/>
        </a:xfrm>
        <a:prstGeom prst="rect">
          <a:avLst/>
        </a:prstGeom>
        <a:blipFill>
          <a:blip xmlns:r="http://schemas.openxmlformats.org/officeDocument/2006/relationships" r:embed="rId1"/>
          <a:srcRect/>
          <a:stretch>
            <a:fillRect l="129" t="4" r="-129" b="-102898"/>
          </a:stretch>
        </a:blipFill>
        <a:ln>
          <a:noFill/>
        </a:ln>
        <a:effectLst>
          <a:outerShdw blurRad="50800" dist="38100" dir="10800000" algn="r" rotWithShape="0">
            <a:prstClr val="black">
              <a:alpha val="40000"/>
            </a:prstClr>
          </a:outerShdw>
          <a:reflection blurRad="6350" stA="30000" endPos="35000" dir="5400000" sy="-100000" algn="bl" rotWithShape="0"/>
          <a:softEdge rad="12700"/>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100"/>
        </a:p>
      </xdr:txBody>
    </xdr:sp>
    <xdr:clientData/>
  </xdr:oneCellAnchor>
  <xdr:twoCellAnchor editAs="oneCell">
    <xdr:from>
      <xdr:col>4</xdr:col>
      <xdr:colOff>207761</xdr:colOff>
      <xdr:row>46</xdr:row>
      <xdr:rowOff>69674</xdr:rowOff>
    </xdr:from>
    <xdr:to>
      <xdr:col>4</xdr:col>
      <xdr:colOff>2322946</xdr:colOff>
      <xdr:row>46</xdr:row>
      <xdr:rowOff>1516204</xdr:rowOff>
    </xdr:to>
    <xdr:pic>
      <xdr:nvPicPr>
        <xdr:cNvPr id="4" name="Picture 3"/>
        <xdr:cNvPicPr/>
      </xdr:nvPicPr>
      <xdr:blipFill>
        <a:blip xmlns:r="http://schemas.openxmlformats.org/officeDocument/2006/relationships" r:embed="rId2"/>
        <a:stretch>
          <a:fillRect/>
        </a:stretch>
      </xdr:blipFill>
      <xdr:spPr>
        <a:xfrm>
          <a:off x="8898190" y="9921245"/>
          <a:ext cx="2115185" cy="1446530"/>
        </a:xfrm>
        <a:prstGeom prst="rect">
          <a:avLst/>
        </a:prstGeom>
      </xdr:spPr>
    </xdr:pic>
    <xdr:clientData/>
  </xdr:twoCellAnchor>
  <xdr:twoCellAnchor editAs="oneCell">
    <xdr:from>
      <xdr:col>4</xdr:col>
      <xdr:colOff>238125</xdr:colOff>
      <xdr:row>47</xdr:row>
      <xdr:rowOff>134937</xdr:rowOff>
    </xdr:from>
    <xdr:to>
      <xdr:col>4</xdr:col>
      <xdr:colOff>2347595</xdr:colOff>
      <xdr:row>47</xdr:row>
      <xdr:rowOff>1589722</xdr:rowOff>
    </xdr:to>
    <xdr:pic>
      <xdr:nvPicPr>
        <xdr:cNvPr id="5" name="Picture 4"/>
        <xdr:cNvPicPr/>
      </xdr:nvPicPr>
      <xdr:blipFill>
        <a:blip xmlns:r="http://schemas.openxmlformats.org/officeDocument/2006/relationships" r:embed="rId3"/>
        <a:stretch>
          <a:fillRect/>
        </a:stretch>
      </xdr:blipFill>
      <xdr:spPr>
        <a:xfrm>
          <a:off x="10779125" y="10390187"/>
          <a:ext cx="2109470" cy="1454785"/>
        </a:xfrm>
        <a:prstGeom prst="rect">
          <a:avLst/>
        </a:prstGeom>
      </xdr:spPr>
    </xdr:pic>
    <xdr:clientData/>
  </xdr:twoCellAnchor>
  <xdr:twoCellAnchor editAs="oneCell">
    <xdr:from>
      <xdr:col>4</xdr:col>
      <xdr:colOff>254000</xdr:colOff>
      <xdr:row>48</xdr:row>
      <xdr:rowOff>174625</xdr:rowOff>
    </xdr:from>
    <xdr:to>
      <xdr:col>4</xdr:col>
      <xdr:colOff>2472055</xdr:colOff>
      <xdr:row>48</xdr:row>
      <xdr:rowOff>1680845</xdr:rowOff>
    </xdr:to>
    <xdr:pic>
      <xdr:nvPicPr>
        <xdr:cNvPr id="6" name="Picture 5"/>
        <xdr:cNvPicPr/>
      </xdr:nvPicPr>
      <xdr:blipFill>
        <a:blip xmlns:r="http://schemas.openxmlformats.org/officeDocument/2006/relationships" r:embed="rId4"/>
        <a:stretch>
          <a:fillRect/>
        </a:stretch>
      </xdr:blipFill>
      <xdr:spPr>
        <a:xfrm>
          <a:off x="10795000" y="12096750"/>
          <a:ext cx="2218055" cy="1506220"/>
        </a:xfrm>
        <a:prstGeom prst="rect">
          <a:avLst/>
        </a:prstGeom>
      </xdr:spPr>
    </xdr:pic>
    <xdr:clientData/>
  </xdr:twoCellAnchor>
  <xdr:twoCellAnchor editAs="oneCell">
    <xdr:from>
      <xdr:col>4</xdr:col>
      <xdr:colOff>119062</xdr:colOff>
      <xdr:row>56</xdr:row>
      <xdr:rowOff>87313</xdr:rowOff>
    </xdr:from>
    <xdr:to>
      <xdr:col>4</xdr:col>
      <xdr:colOff>3490912</xdr:colOff>
      <xdr:row>56</xdr:row>
      <xdr:rowOff>563563</xdr:rowOff>
    </xdr:to>
    <xdr:pic>
      <xdr:nvPicPr>
        <xdr:cNvPr id="7" name="Picture 6"/>
        <xdr:cNvPicPr/>
      </xdr:nvPicPr>
      <xdr:blipFill>
        <a:blip xmlns:r="http://schemas.openxmlformats.org/officeDocument/2006/relationships" r:embed="rId5"/>
        <a:stretch>
          <a:fillRect/>
        </a:stretch>
      </xdr:blipFill>
      <xdr:spPr>
        <a:xfrm>
          <a:off x="10660062" y="15676563"/>
          <a:ext cx="3371850" cy="476250"/>
        </a:xfrm>
        <a:prstGeom prst="rect">
          <a:avLst/>
        </a:prstGeom>
      </xdr:spPr>
    </xdr:pic>
    <xdr:clientData/>
  </xdr:twoCellAnchor>
  <xdr:twoCellAnchor editAs="oneCell">
    <xdr:from>
      <xdr:col>4</xdr:col>
      <xdr:colOff>1386417</xdr:colOff>
      <xdr:row>57</xdr:row>
      <xdr:rowOff>211668</xdr:rowOff>
    </xdr:from>
    <xdr:to>
      <xdr:col>4</xdr:col>
      <xdr:colOff>4605867</xdr:colOff>
      <xdr:row>57</xdr:row>
      <xdr:rowOff>2059518</xdr:rowOff>
    </xdr:to>
    <xdr:pic>
      <xdr:nvPicPr>
        <xdr:cNvPr id="14" name="Picture 13"/>
        <xdr:cNvPicPr/>
      </xdr:nvPicPr>
      <xdr:blipFill>
        <a:blip xmlns:r="http://schemas.openxmlformats.org/officeDocument/2006/relationships" r:embed="rId6"/>
        <a:stretch>
          <a:fillRect/>
        </a:stretch>
      </xdr:blipFill>
      <xdr:spPr>
        <a:xfrm>
          <a:off x="11916834" y="16457085"/>
          <a:ext cx="3219450" cy="1847850"/>
        </a:xfrm>
        <a:prstGeom prst="rect">
          <a:avLst/>
        </a:prstGeom>
      </xdr:spPr>
    </xdr:pic>
    <xdr:clientData/>
  </xdr:twoCellAnchor>
  <xdr:twoCellAnchor editAs="oneCell">
    <xdr:from>
      <xdr:col>4</xdr:col>
      <xdr:colOff>1566333</xdr:colOff>
      <xdr:row>58</xdr:row>
      <xdr:rowOff>158750</xdr:rowOff>
    </xdr:from>
    <xdr:to>
      <xdr:col>4</xdr:col>
      <xdr:colOff>4572423</xdr:colOff>
      <xdr:row>58</xdr:row>
      <xdr:rowOff>1905000</xdr:rowOff>
    </xdr:to>
    <xdr:pic>
      <xdr:nvPicPr>
        <xdr:cNvPr id="15" name="Picture 14"/>
        <xdr:cNvPicPr/>
      </xdr:nvPicPr>
      <xdr:blipFill>
        <a:blip xmlns:r="http://schemas.openxmlformats.org/officeDocument/2006/relationships" r:embed="rId7"/>
        <a:stretch>
          <a:fillRect/>
        </a:stretch>
      </xdr:blipFill>
      <xdr:spPr>
        <a:xfrm>
          <a:off x="10256762" y="20505964"/>
          <a:ext cx="3006090" cy="1746250"/>
        </a:xfrm>
        <a:prstGeom prst="rect">
          <a:avLst/>
        </a:prstGeom>
      </xdr:spPr>
    </xdr:pic>
    <xdr:clientData/>
  </xdr:twoCellAnchor>
  <xdr:twoCellAnchor editAs="oneCell">
    <xdr:from>
      <xdr:col>4</xdr:col>
      <xdr:colOff>1407584</xdr:colOff>
      <xdr:row>59</xdr:row>
      <xdr:rowOff>95250</xdr:rowOff>
    </xdr:from>
    <xdr:to>
      <xdr:col>4</xdr:col>
      <xdr:colOff>4636559</xdr:colOff>
      <xdr:row>59</xdr:row>
      <xdr:rowOff>1752600</xdr:rowOff>
    </xdr:to>
    <xdr:pic>
      <xdr:nvPicPr>
        <xdr:cNvPr id="16" name="Picture 15"/>
        <xdr:cNvPicPr/>
      </xdr:nvPicPr>
      <xdr:blipFill>
        <a:blip xmlns:r="http://schemas.openxmlformats.org/officeDocument/2006/relationships" r:embed="rId8"/>
        <a:stretch>
          <a:fillRect/>
        </a:stretch>
      </xdr:blipFill>
      <xdr:spPr>
        <a:xfrm>
          <a:off x="11938001" y="20521083"/>
          <a:ext cx="3228975" cy="1657350"/>
        </a:xfrm>
        <a:prstGeom prst="rect">
          <a:avLst/>
        </a:prstGeom>
      </xdr:spPr>
    </xdr:pic>
    <xdr:clientData/>
  </xdr:twoCellAnchor>
  <xdr:twoCellAnchor editAs="oneCell">
    <xdr:from>
      <xdr:col>4</xdr:col>
      <xdr:colOff>108857</xdr:colOff>
      <xdr:row>72</xdr:row>
      <xdr:rowOff>108857</xdr:rowOff>
    </xdr:from>
    <xdr:to>
      <xdr:col>4</xdr:col>
      <xdr:colOff>3334657</xdr:colOff>
      <xdr:row>72</xdr:row>
      <xdr:rowOff>537482</xdr:rowOff>
    </xdr:to>
    <xdr:pic>
      <xdr:nvPicPr>
        <xdr:cNvPr id="17" name="Picture 16"/>
        <xdr:cNvPicPr/>
      </xdr:nvPicPr>
      <xdr:blipFill>
        <a:blip xmlns:r="http://schemas.openxmlformats.org/officeDocument/2006/relationships" r:embed="rId9"/>
        <a:stretch>
          <a:fillRect/>
        </a:stretch>
      </xdr:blipFill>
      <xdr:spPr>
        <a:xfrm>
          <a:off x="10658928" y="26289000"/>
          <a:ext cx="3225800" cy="428625"/>
        </a:xfrm>
        <a:prstGeom prst="rect">
          <a:avLst/>
        </a:prstGeom>
      </xdr:spPr>
    </xdr:pic>
    <xdr:clientData/>
  </xdr:twoCellAnchor>
  <xdr:twoCellAnchor editAs="oneCell">
    <xdr:from>
      <xdr:col>4</xdr:col>
      <xdr:colOff>208644</xdr:colOff>
      <xdr:row>73</xdr:row>
      <xdr:rowOff>90714</xdr:rowOff>
    </xdr:from>
    <xdr:to>
      <xdr:col>4</xdr:col>
      <xdr:colOff>3283857</xdr:colOff>
      <xdr:row>73</xdr:row>
      <xdr:rowOff>562429</xdr:rowOff>
    </xdr:to>
    <xdr:pic>
      <xdr:nvPicPr>
        <xdr:cNvPr id="18" name="Picture 17"/>
        <xdr:cNvPicPr/>
      </xdr:nvPicPr>
      <xdr:blipFill>
        <a:blip xmlns:r="http://schemas.openxmlformats.org/officeDocument/2006/relationships" r:embed="rId10"/>
        <a:stretch>
          <a:fillRect/>
        </a:stretch>
      </xdr:blipFill>
      <xdr:spPr>
        <a:xfrm>
          <a:off x="8899073" y="27822071"/>
          <a:ext cx="3075213" cy="471715"/>
        </a:xfrm>
        <a:prstGeom prst="rect">
          <a:avLst/>
        </a:prstGeom>
      </xdr:spPr>
    </xdr:pic>
    <xdr:clientData/>
  </xdr:twoCellAnchor>
  <xdr:twoCellAnchor editAs="oneCell">
    <xdr:from>
      <xdr:col>4</xdr:col>
      <xdr:colOff>108858</xdr:colOff>
      <xdr:row>82</xdr:row>
      <xdr:rowOff>108857</xdr:rowOff>
    </xdr:from>
    <xdr:to>
      <xdr:col>4</xdr:col>
      <xdr:colOff>3452133</xdr:colOff>
      <xdr:row>82</xdr:row>
      <xdr:rowOff>471713</xdr:rowOff>
    </xdr:to>
    <xdr:pic>
      <xdr:nvPicPr>
        <xdr:cNvPr id="19" name="Picture 18"/>
        <xdr:cNvPicPr/>
      </xdr:nvPicPr>
      <xdr:blipFill>
        <a:blip xmlns:r="http://schemas.openxmlformats.org/officeDocument/2006/relationships" r:embed="rId11"/>
        <a:stretch>
          <a:fillRect/>
        </a:stretch>
      </xdr:blipFill>
      <xdr:spPr>
        <a:xfrm>
          <a:off x="10658929" y="30071786"/>
          <a:ext cx="3343275" cy="362856"/>
        </a:xfrm>
        <a:prstGeom prst="rect">
          <a:avLst/>
        </a:prstGeom>
      </xdr:spPr>
    </xdr:pic>
    <xdr:clientData/>
  </xdr:twoCellAnchor>
  <xdr:twoCellAnchor editAs="oneCell">
    <xdr:from>
      <xdr:col>4</xdr:col>
      <xdr:colOff>108857</xdr:colOff>
      <xdr:row>83</xdr:row>
      <xdr:rowOff>117929</xdr:rowOff>
    </xdr:from>
    <xdr:to>
      <xdr:col>4</xdr:col>
      <xdr:colOff>4097927</xdr:colOff>
      <xdr:row>83</xdr:row>
      <xdr:rowOff>406219</xdr:rowOff>
    </xdr:to>
    <xdr:pic>
      <xdr:nvPicPr>
        <xdr:cNvPr id="20" name="Picture 19"/>
        <xdr:cNvPicPr/>
      </xdr:nvPicPr>
      <xdr:blipFill>
        <a:blip xmlns:r="http://schemas.openxmlformats.org/officeDocument/2006/relationships" r:embed="rId12"/>
        <a:stretch>
          <a:fillRect/>
        </a:stretch>
      </xdr:blipFill>
      <xdr:spPr>
        <a:xfrm>
          <a:off x="10658928" y="30643286"/>
          <a:ext cx="3989070" cy="288290"/>
        </a:xfrm>
        <a:prstGeom prst="rect">
          <a:avLst/>
        </a:prstGeom>
      </xdr:spPr>
    </xdr:pic>
    <xdr:clientData/>
  </xdr:twoCellAnchor>
  <xdr:twoCellAnchor editAs="oneCell">
    <xdr:from>
      <xdr:col>4</xdr:col>
      <xdr:colOff>63500</xdr:colOff>
      <xdr:row>85</xdr:row>
      <xdr:rowOff>108857</xdr:rowOff>
    </xdr:from>
    <xdr:to>
      <xdr:col>4</xdr:col>
      <xdr:colOff>3959860</xdr:colOff>
      <xdr:row>85</xdr:row>
      <xdr:rowOff>425087</xdr:rowOff>
    </xdr:to>
    <xdr:pic>
      <xdr:nvPicPr>
        <xdr:cNvPr id="21" name="Picture 20"/>
        <xdr:cNvPicPr/>
      </xdr:nvPicPr>
      <xdr:blipFill>
        <a:blip xmlns:r="http://schemas.openxmlformats.org/officeDocument/2006/relationships" r:embed="rId13"/>
        <a:stretch>
          <a:fillRect/>
        </a:stretch>
      </xdr:blipFill>
      <xdr:spPr>
        <a:xfrm>
          <a:off x="10613571" y="31505071"/>
          <a:ext cx="3896360" cy="316230"/>
        </a:xfrm>
        <a:prstGeom prst="rect">
          <a:avLst/>
        </a:prstGeom>
      </xdr:spPr>
    </xdr:pic>
    <xdr:clientData/>
  </xdr:twoCellAnchor>
  <xdr:twoCellAnchor editAs="oneCell">
    <xdr:from>
      <xdr:col>4</xdr:col>
      <xdr:colOff>172357</xdr:colOff>
      <xdr:row>86</xdr:row>
      <xdr:rowOff>117929</xdr:rowOff>
    </xdr:from>
    <xdr:to>
      <xdr:col>4</xdr:col>
      <xdr:colOff>4052842</xdr:colOff>
      <xdr:row>86</xdr:row>
      <xdr:rowOff>427174</xdr:rowOff>
    </xdr:to>
    <xdr:pic>
      <xdr:nvPicPr>
        <xdr:cNvPr id="22" name="Picture 21"/>
        <xdr:cNvPicPr/>
      </xdr:nvPicPr>
      <xdr:blipFill>
        <a:blip xmlns:r="http://schemas.openxmlformats.org/officeDocument/2006/relationships" r:embed="rId14"/>
        <a:stretch>
          <a:fillRect/>
        </a:stretch>
      </xdr:blipFill>
      <xdr:spPr>
        <a:xfrm>
          <a:off x="10722428" y="32058429"/>
          <a:ext cx="3880485" cy="309245"/>
        </a:xfrm>
        <a:prstGeom prst="rect">
          <a:avLst/>
        </a:prstGeom>
      </xdr:spPr>
    </xdr:pic>
    <xdr:clientData/>
  </xdr:twoCellAnchor>
  <xdr:twoCellAnchor editAs="oneCell">
    <xdr:from>
      <xdr:col>4</xdr:col>
      <xdr:colOff>136071</xdr:colOff>
      <xdr:row>88</xdr:row>
      <xdr:rowOff>136071</xdr:rowOff>
    </xdr:from>
    <xdr:to>
      <xdr:col>4</xdr:col>
      <xdr:colOff>3976551</xdr:colOff>
      <xdr:row>88</xdr:row>
      <xdr:rowOff>421821</xdr:rowOff>
    </xdr:to>
    <xdr:pic>
      <xdr:nvPicPr>
        <xdr:cNvPr id="23" name="Picture 22"/>
        <xdr:cNvPicPr/>
      </xdr:nvPicPr>
      <xdr:blipFill>
        <a:blip xmlns:r="http://schemas.openxmlformats.org/officeDocument/2006/relationships" r:embed="rId15"/>
        <a:stretch>
          <a:fillRect/>
        </a:stretch>
      </xdr:blipFill>
      <xdr:spPr>
        <a:xfrm>
          <a:off x="10686142" y="33010928"/>
          <a:ext cx="3840480" cy="285750"/>
        </a:xfrm>
        <a:prstGeom prst="rect">
          <a:avLst/>
        </a:prstGeom>
      </xdr:spPr>
    </xdr:pic>
    <xdr:clientData/>
  </xdr:twoCellAnchor>
  <xdr:twoCellAnchor editAs="oneCell">
    <xdr:from>
      <xdr:col>4</xdr:col>
      <xdr:colOff>244929</xdr:colOff>
      <xdr:row>108</xdr:row>
      <xdr:rowOff>235857</xdr:rowOff>
    </xdr:from>
    <xdr:to>
      <xdr:col>4</xdr:col>
      <xdr:colOff>4301944</xdr:colOff>
      <xdr:row>110</xdr:row>
      <xdr:rowOff>3184888</xdr:rowOff>
    </xdr:to>
    <xdr:pic>
      <xdr:nvPicPr>
        <xdr:cNvPr id="24" name="Picture 23"/>
        <xdr:cNvPicPr/>
      </xdr:nvPicPr>
      <xdr:blipFill>
        <a:blip xmlns:r="http://schemas.openxmlformats.org/officeDocument/2006/relationships" r:embed="rId16"/>
        <a:stretch>
          <a:fillRect/>
        </a:stretch>
      </xdr:blipFill>
      <xdr:spPr>
        <a:xfrm>
          <a:off x="10795000" y="39723786"/>
          <a:ext cx="4057015" cy="3738245"/>
        </a:xfrm>
        <a:prstGeom prst="rect">
          <a:avLst/>
        </a:prstGeom>
      </xdr:spPr>
    </xdr:pic>
    <xdr:clientData/>
  </xdr:twoCellAnchor>
  <xdr:twoCellAnchor editAs="oneCell">
    <xdr:from>
      <xdr:col>4</xdr:col>
      <xdr:colOff>335642</xdr:colOff>
      <xdr:row>111</xdr:row>
      <xdr:rowOff>217714</xdr:rowOff>
    </xdr:from>
    <xdr:to>
      <xdr:col>4</xdr:col>
      <xdr:colOff>4392657</xdr:colOff>
      <xdr:row>112</xdr:row>
      <xdr:rowOff>906506</xdr:rowOff>
    </xdr:to>
    <xdr:pic>
      <xdr:nvPicPr>
        <xdr:cNvPr id="25" name="Picture 24"/>
        <xdr:cNvPicPr/>
      </xdr:nvPicPr>
      <xdr:blipFill>
        <a:blip xmlns:r="http://schemas.openxmlformats.org/officeDocument/2006/relationships" r:embed="rId17"/>
        <a:stretch>
          <a:fillRect/>
        </a:stretch>
      </xdr:blipFill>
      <xdr:spPr>
        <a:xfrm>
          <a:off x="10885713" y="43905714"/>
          <a:ext cx="4057015" cy="1078865"/>
        </a:xfrm>
        <a:prstGeom prst="rect">
          <a:avLst/>
        </a:prstGeom>
      </xdr:spPr>
    </xdr:pic>
    <xdr:clientData/>
  </xdr:twoCellAnchor>
  <xdr:twoCellAnchor editAs="oneCell">
    <xdr:from>
      <xdr:col>4</xdr:col>
      <xdr:colOff>317500</xdr:colOff>
      <xdr:row>113</xdr:row>
      <xdr:rowOff>127001</xdr:rowOff>
    </xdr:from>
    <xdr:to>
      <xdr:col>4</xdr:col>
      <xdr:colOff>1346200</xdr:colOff>
      <xdr:row>113</xdr:row>
      <xdr:rowOff>2857501</xdr:rowOff>
    </xdr:to>
    <xdr:pic>
      <xdr:nvPicPr>
        <xdr:cNvPr id="26" name="Picture 25"/>
        <xdr:cNvPicPr/>
      </xdr:nvPicPr>
      <xdr:blipFill>
        <a:blip xmlns:r="http://schemas.openxmlformats.org/officeDocument/2006/relationships" r:embed="rId18"/>
        <a:stretch>
          <a:fillRect/>
        </a:stretch>
      </xdr:blipFill>
      <xdr:spPr>
        <a:xfrm>
          <a:off x="10867571" y="45329930"/>
          <a:ext cx="1028700" cy="2730500"/>
        </a:xfrm>
        <a:prstGeom prst="rect">
          <a:avLst/>
        </a:prstGeom>
      </xdr:spPr>
    </xdr:pic>
    <xdr:clientData/>
  </xdr:twoCellAnchor>
  <xdr:twoCellAnchor editAs="oneCell">
    <xdr:from>
      <xdr:col>4</xdr:col>
      <xdr:colOff>163285</xdr:colOff>
      <xdr:row>114</xdr:row>
      <xdr:rowOff>172357</xdr:rowOff>
    </xdr:from>
    <xdr:to>
      <xdr:col>4</xdr:col>
      <xdr:colOff>4220300</xdr:colOff>
      <xdr:row>114</xdr:row>
      <xdr:rowOff>3008902</xdr:rowOff>
    </xdr:to>
    <xdr:pic>
      <xdr:nvPicPr>
        <xdr:cNvPr id="27" name="Picture 26"/>
        <xdr:cNvPicPr/>
      </xdr:nvPicPr>
      <xdr:blipFill>
        <a:blip xmlns:r="http://schemas.openxmlformats.org/officeDocument/2006/relationships" r:embed="rId19"/>
        <a:stretch>
          <a:fillRect/>
        </a:stretch>
      </xdr:blipFill>
      <xdr:spPr>
        <a:xfrm>
          <a:off x="10713356" y="48396071"/>
          <a:ext cx="4057015" cy="2836545"/>
        </a:xfrm>
        <a:prstGeom prst="rect">
          <a:avLst/>
        </a:prstGeom>
      </xdr:spPr>
    </xdr:pic>
    <xdr:clientData/>
  </xdr:twoCellAnchor>
  <xdr:twoCellAnchor editAs="oneCell">
    <xdr:from>
      <xdr:col>4</xdr:col>
      <xdr:colOff>172357</xdr:colOff>
      <xdr:row>115</xdr:row>
      <xdr:rowOff>199571</xdr:rowOff>
    </xdr:from>
    <xdr:to>
      <xdr:col>4</xdr:col>
      <xdr:colOff>4229372</xdr:colOff>
      <xdr:row>115</xdr:row>
      <xdr:rowOff>3311706</xdr:rowOff>
    </xdr:to>
    <xdr:pic>
      <xdr:nvPicPr>
        <xdr:cNvPr id="28" name="Picture 27"/>
        <xdr:cNvPicPr/>
      </xdr:nvPicPr>
      <xdr:blipFill>
        <a:blip xmlns:r="http://schemas.openxmlformats.org/officeDocument/2006/relationships" r:embed="rId20"/>
        <a:stretch>
          <a:fillRect/>
        </a:stretch>
      </xdr:blipFill>
      <xdr:spPr>
        <a:xfrm>
          <a:off x="10722428" y="51598285"/>
          <a:ext cx="4057015" cy="3112135"/>
        </a:xfrm>
        <a:prstGeom prst="rect">
          <a:avLst/>
        </a:prstGeom>
      </xdr:spPr>
    </xdr:pic>
    <xdr:clientData/>
  </xdr:twoCellAnchor>
  <xdr:twoCellAnchor editAs="oneCell">
    <xdr:from>
      <xdr:col>4</xdr:col>
      <xdr:colOff>181427</xdr:colOff>
      <xdr:row>117</xdr:row>
      <xdr:rowOff>326572</xdr:rowOff>
    </xdr:from>
    <xdr:to>
      <xdr:col>4</xdr:col>
      <xdr:colOff>4238442</xdr:colOff>
      <xdr:row>118</xdr:row>
      <xdr:rowOff>3044191</xdr:rowOff>
    </xdr:to>
    <xdr:pic>
      <xdr:nvPicPr>
        <xdr:cNvPr id="29" name="Picture 28"/>
        <xdr:cNvPicPr/>
      </xdr:nvPicPr>
      <xdr:blipFill>
        <a:blip xmlns:r="http://schemas.openxmlformats.org/officeDocument/2006/relationships" r:embed="rId21"/>
        <a:stretch>
          <a:fillRect/>
        </a:stretch>
      </xdr:blipFill>
      <xdr:spPr>
        <a:xfrm>
          <a:off x="10849427" y="55616929"/>
          <a:ext cx="4057015" cy="3107690"/>
        </a:xfrm>
        <a:prstGeom prst="rect">
          <a:avLst/>
        </a:prstGeom>
      </xdr:spPr>
    </xdr:pic>
    <xdr:clientData/>
  </xdr:twoCellAnchor>
  <xdr:twoCellAnchor editAs="oneCell">
    <xdr:from>
      <xdr:col>4</xdr:col>
      <xdr:colOff>136072</xdr:colOff>
      <xdr:row>119</xdr:row>
      <xdr:rowOff>172357</xdr:rowOff>
    </xdr:from>
    <xdr:to>
      <xdr:col>4</xdr:col>
      <xdr:colOff>4193087</xdr:colOff>
      <xdr:row>119</xdr:row>
      <xdr:rowOff>2156097</xdr:rowOff>
    </xdr:to>
    <xdr:pic>
      <xdr:nvPicPr>
        <xdr:cNvPr id="30" name="Picture 29"/>
        <xdr:cNvPicPr/>
      </xdr:nvPicPr>
      <xdr:blipFill>
        <a:blip xmlns:r="http://schemas.openxmlformats.org/officeDocument/2006/relationships" r:embed="rId22"/>
        <a:stretch>
          <a:fillRect/>
        </a:stretch>
      </xdr:blipFill>
      <xdr:spPr>
        <a:xfrm>
          <a:off x="10804072" y="59209214"/>
          <a:ext cx="4057015" cy="1983740"/>
        </a:xfrm>
        <a:prstGeom prst="rect">
          <a:avLst/>
        </a:prstGeom>
      </xdr:spPr>
    </xdr:pic>
    <xdr:clientData/>
  </xdr:twoCellAnchor>
  <xdr:twoCellAnchor editAs="oneCell">
    <xdr:from>
      <xdr:col>4</xdr:col>
      <xdr:colOff>199572</xdr:colOff>
      <xdr:row>120</xdr:row>
      <xdr:rowOff>526142</xdr:rowOff>
    </xdr:from>
    <xdr:to>
      <xdr:col>4</xdr:col>
      <xdr:colOff>4256587</xdr:colOff>
      <xdr:row>121</xdr:row>
      <xdr:rowOff>860605</xdr:rowOff>
    </xdr:to>
    <xdr:pic>
      <xdr:nvPicPr>
        <xdr:cNvPr id="31" name="Picture 30"/>
        <xdr:cNvPicPr/>
      </xdr:nvPicPr>
      <xdr:blipFill>
        <a:blip xmlns:r="http://schemas.openxmlformats.org/officeDocument/2006/relationships" r:embed="rId23"/>
        <a:stretch>
          <a:fillRect/>
        </a:stretch>
      </xdr:blipFill>
      <xdr:spPr>
        <a:xfrm>
          <a:off x="10867572" y="62012285"/>
          <a:ext cx="4057015" cy="1867535"/>
        </a:xfrm>
        <a:prstGeom prst="rect">
          <a:avLst/>
        </a:prstGeom>
      </xdr:spPr>
    </xdr:pic>
    <xdr:clientData/>
  </xdr:twoCellAnchor>
  <xdr:twoCellAnchor editAs="oneCell">
    <xdr:from>
      <xdr:col>4</xdr:col>
      <xdr:colOff>99786</xdr:colOff>
      <xdr:row>122</xdr:row>
      <xdr:rowOff>190500</xdr:rowOff>
    </xdr:from>
    <xdr:to>
      <xdr:col>4</xdr:col>
      <xdr:colOff>4156801</xdr:colOff>
      <xdr:row>122</xdr:row>
      <xdr:rowOff>2205355</xdr:rowOff>
    </xdr:to>
    <xdr:pic>
      <xdr:nvPicPr>
        <xdr:cNvPr id="32" name="Picture 31"/>
        <xdr:cNvPicPr/>
      </xdr:nvPicPr>
      <xdr:blipFill>
        <a:blip xmlns:r="http://schemas.openxmlformats.org/officeDocument/2006/relationships" r:embed="rId24"/>
        <a:stretch>
          <a:fillRect/>
        </a:stretch>
      </xdr:blipFill>
      <xdr:spPr>
        <a:xfrm>
          <a:off x="10767786" y="64389000"/>
          <a:ext cx="4057015" cy="2014855"/>
        </a:xfrm>
        <a:prstGeom prst="rect">
          <a:avLst/>
        </a:prstGeom>
      </xdr:spPr>
    </xdr:pic>
    <xdr:clientData/>
  </xdr:twoCellAnchor>
  <xdr:twoCellAnchor editAs="oneCell">
    <xdr:from>
      <xdr:col>4</xdr:col>
      <xdr:colOff>108858</xdr:colOff>
      <xdr:row>124</xdr:row>
      <xdr:rowOff>54429</xdr:rowOff>
    </xdr:from>
    <xdr:to>
      <xdr:col>4</xdr:col>
      <xdr:colOff>2977788</xdr:colOff>
      <xdr:row>124</xdr:row>
      <xdr:rowOff>625929</xdr:rowOff>
    </xdr:to>
    <xdr:pic>
      <xdr:nvPicPr>
        <xdr:cNvPr id="33" name="Picture 32"/>
        <xdr:cNvPicPr/>
      </xdr:nvPicPr>
      <xdr:blipFill>
        <a:blip xmlns:r="http://schemas.openxmlformats.org/officeDocument/2006/relationships" r:embed="rId25"/>
        <a:stretch>
          <a:fillRect/>
        </a:stretch>
      </xdr:blipFill>
      <xdr:spPr>
        <a:xfrm>
          <a:off x="10776858" y="67065072"/>
          <a:ext cx="2868930" cy="571500"/>
        </a:xfrm>
        <a:prstGeom prst="rect">
          <a:avLst/>
        </a:prstGeom>
      </xdr:spPr>
    </xdr:pic>
    <xdr:clientData/>
  </xdr:twoCellAnchor>
  <xdr:twoCellAnchor editAs="oneCell">
    <xdr:from>
      <xdr:col>4</xdr:col>
      <xdr:colOff>163286</xdr:colOff>
      <xdr:row>125</xdr:row>
      <xdr:rowOff>172358</xdr:rowOff>
    </xdr:from>
    <xdr:to>
      <xdr:col>4</xdr:col>
      <xdr:colOff>3616416</xdr:colOff>
      <xdr:row>125</xdr:row>
      <xdr:rowOff>2798083</xdr:rowOff>
    </xdr:to>
    <xdr:pic>
      <xdr:nvPicPr>
        <xdr:cNvPr id="34" name="Picture 33"/>
        <xdr:cNvPicPr/>
      </xdr:nvPicPr>
      <xdr:blipFill>
        <a:blip xmlns:r="http://schemas.openxmlformats.org/officeDocument/2006/relationships" r:embed="rId26"/>
        <a:stretch>
          <a:fillRect/>
        </a:stretch>
      </xdr:blipFill>
      <xdr:spPr>
        <a:xfrm>
          <a:off x="10831286" y="67836144"/>
          <a:ext cx="3453130" cy="2625725"/>
        </a:xfrm>
        <a:prstGeom prst="rect">
          <a:avLst/>
        </a:prstGeom>
      </xdr:spPr>
    </xdr:pic>
    <xdr:clientData/>
  </xdr:twoCellAnchor>
  <xdr:twoCellAnchor editAs="oneCell">
    <xdr:from>
      <xdr:col>4</xdr:col>
      <xdr:colOff>154214</xdr:colOff>
      <xdr:row>139</xdr:row>
      <xdr:rowOff>254000</xdr:rowOff>
    </xdr:from>
    <xdr:to>
      <xdr:col>4</xdr:col>
      <xdr:colOff>3449864</xdr:colOff>
      <xdr:row>139</xdr:row>
      <xdr:rowOff>1730375</xdr:rowOff>
    </xdr:to>
    <xdr:pic>
      <xdr:nvPicPr>
        <xdr:cNvPr id="35" name="Picture 34"/>
        <xdr:cNvPicPr/>
      </xdr:nvPicPr>
      <xdr:blipFill>
        <a:blip xmlns:r="http://schemas.openxmlformats.org/officeDocument/2006/relationships" r:embed="rId27"/>
        <a:stretch>
          <a:fillRect/>
        </a:stretch>
      </xdr:blipFill>
      <xdr:spPr>
        <a:xfrm>
          <a:off x="10822214" y="74930000"/>
          <a:ext cx="3295650" cy="1476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13</xdr:row>
      <xdr:rowOff>0</xdr:rowOff>
    </xdr:from>
    <xdr:to>
      <xdr:col>5</xdr:col>
      <xdr:colOff>0</xdr:colOff>
      <xdr:row>25</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13</xdr:row>
      <xdr:rowOff>0</xdr:rowOff>
    </xdr:from>
    <xdr:to>
      <xdr:col>11</xdr:col>
      <xdr:colOff>0</xdr:colOff>
      <xdr:row>25</xdr:row>
      <xdr:rowOff>0</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0</xdr:colOff>
      <xdr:row>13</xdr:row>
      <xdr:rowOff>0</xdr:rowOff>
    </xdr:from>
    <xdr:to>
      <xdr:col>17</xdr:col>
      <xdr:colOff>0</xdr:colOff>
      <xdr:row>25</xdr:row>
      <xdr:rowOff>0</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0</xdr:colOff>
      <xdr:row>13</xdr:row>
      <xdr:rowOff>0</xdr:rowOff>
    </xdr:from>
    <xdr:to>
      <xdr:col>23</xdr:col>
      <xdr:colOff>0</xdr:colOff>
      <xdr:row>25</xdr:row>
      <xdr:rowOff>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170039</xdr:colOff>
      <xdr:row>8</xdr:row>
      <xdr:rowOff>288571</xdr:rowOff>
    </xdr:from>
    <xdr:to>
      <xdr:col>6</xdr:col>
      <xdr:colOff>2014010</xdr:colOff>
      <xdr:row>9</xdr:row>
      <xdr:rowOff>136877</xdr:rowOff>
    </xdr:to>
    <xdr:sp macro="[0]!ScenarioInvestor" textlink="">
      <xdr:nvSpPr>
        <xdr:cNvPr id="2" name="Rounded Rectangle 1"/>
        <xdr:cNvSpPr/>
      </xdr:nvSpPr>
      <xdr:spPr>
        <a:xfrm>
          <a:off x="4734983" y="3809293"/>
          <a:ext cx="1843971" cy="419806"/>
        </a:xfrm>
        <a:prstGeom prst="roundRect">
          <a:avLst/>
        </a:prstGeom>
        <a:solidFill>
          <a:schemeClr val="accent1">
            <a:lumMod val="50000"/>
          </a:schemeClr>
        </a:solidFill>
        <a:scene3d>
          <a:camera prst="orthographicFront"/>
          <a:lightRig rig="threePt" dir="t"/>
        </a:scene3d>
        <a:sp3d>
          <a:bevelT w="165100" prst="coolSlan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100" b="1">
              <a:solidFill>
                <a:schemeClr val="accent4">
                  <a:lumMod val="60000"/>
                  <a:lumOff val="40000"/>
                </a:schemeClr>
              </a:solidFill>
            </a:rPr>
            <a:t>Scenario 1 - Investor</a:t>
          </a:r>
        </a:p>
      </xdr:txBody>
    </xdr:sp>
    <xdr:clientData/>
  </xdr:twoCellAnchor>
  <xdr:twoCellAnchor>
    <xdr:from>
      <xdr:col>7</xdr:col>
      <xdr:colOff>202140</xdr:colOff>
      <xdr:row>8</xdr:row>
      <xdr:rowOff>288571</xdr:rowOff>
    </xdr:from>
    <xdr:to>
      <xdr:col>7</xdr:col>
      <xdr:colOff>2046111</xdr:colOff>
      <xdr:row>9</xdr:row>
      <xdr:rowOff>136877</xdr:rowOff>
    </xdr:to>
    <xdr:sp macro="[0]!ScenarioLowPrice" textlink="">
      <xdr:nvSpPr>
        <xdr:cNvPr id="3" name="Rounded Rectangle 2"/>
        <xdr:cNvSpPr/>
      </xdr:nvSpPr>
      <xdr:spPr>
        <a:xfrm>
          <a:off x="7024862" y="3809293"/>
          <a:ext cx="1843971" cy="419806"/>
        </a:xfrm>
        <a:prstGeom prst="roundRect">
          <a:avLst/>
        </a:prstGeom>
        <a:solidFill>
          <a:schemeClr val="accent1">
            <a:lumMod val="50000"/>
          </a:schemeClr>
        </a:solidFill>
        <a:scene3d>
          <a:camera prst="orthographicFront"/>
          <a:lightRig rig="threePt" dir="t"/>
        </a:scene3d>
        <a:sp3d>
          <a:bevelT w="165100" prst="coolSlan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100" b="1">
              <a:solidFill>
                <a:schemeClr val="accent4">
                  <a:lumMod val="60000"/>
                  <a:lumOff val="40000"/>
                </a:schemeClr>
              </a:solidFill>
            </a:rPr>
            <a:t>Scenario 2 - Low Prices</a:t>
          </a:r>
        </a:p>
      </xdr:txBody>
    </xdr:sp>
    <xdr:clientData/>
  </xdr:twoCellAnchor>
  <xdr:twoCellAnchor>
    <xdr:from>
      <xdr:col>8</xdr:col>
      <xdr:colOff>191204</xdr:colOff>
      <xdr:row>8</xdr:row>
      <xdr:rowOff>288571</xdr:rowOff>
    </xdr:from>
    <xdr:to>
      <xdr:col>8</xdr:col>
      <xdr:colOff>2035175</xdr:colOff>
      <xdr:row>9</xdr:row>
      <xdr:rowOff>136877</xdr:rowOff>
    </xdr:to>
    <xdr:sp macro="[0]!ScenarioLottery" textlink="">
      <xdr:nvSpPr>
        <xdr:cNvPr id="4" name="Rounded Rectangle 3"/>
        <xdr:cNvSpPr/>
      </xdr:nvSpPr>
      <xdr:spPr>
        <a:xfrm>
          <a:off x="9271704" y="3809293"/>
          <a:ext cx="1843971" cy="419806"/>
        </a:xfrm>
        <a:prstGeom prst="roundRect">
          <a:avLst/>
        </a:prstGeom>
        <a:solidFill>
          <a:schemeClr val="accent1">
            <a:lumMod val="50000"/>
          </a:schemeClr>
        </a:solidFill>
        <a:scene3d>
          <a:camera prst="orthographicFront"/>
          <a:lightRig rig="threePt" dir="t"/>
        </a:scene3d>
        <a:sp3d>
          <a:bevelT w="165100" prst="coolSlan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100" b="1">
              <a:solidFill>
                <a:schemeClr val="accent4">
                  <a:lumMod val="60000"/>
                  <a:lumOff val="40000"/>
                </a:schemeClr>
              </a:solidFill>
            </a:rPr>
            <a:t>Scenario 3 - Lottery</a:t>
          </a:r>
        </a:p>
      </xdr:txBody>
    </xdr:sp>
    <xdr:clientData/>
  </xdr:twoCellAnchor>
  <xdr:twoCellAnchor>
    <xdr:from>
      <xdr:col>7</xdr:col>
      <xdr:colOff>202140</xdr:colOff>
      <xdr:row>10</xdr:row>
      <xdr:rowOff>38805</xdr:rowOff>
    </xdr:from>
    <xdr:to>
      <xdr:col>7</xdr:col>
      <xdr:colOff>2046111</xdr:colOff>
      <xdr:row>10</xdr:row>
      <xdr:rowOff>458611</xdr:rowOff>
    </xdr:to>
    <xdr:sp macro="[0]!ScenarioOriginal" textlink="">
      <xdr:nvSpPr>
        <xdr:cNvPr id="5" name="Rounded Rectangle 4"/>
        <xdr:cNvSpPr/>
      </xdr:nvSpPr>
      <xdr:spPr>
        <a:xfrm>
          <a:off x="6841418" y="4702527"/>
          <a:ext cx="1843971" cy="419806"/>
        </a:xfrm>
        <a:prstGeom prst="roundRect">
          <a:avLst/>
        </a:prstGeom>
        <a:solidFill>
          <a:schemeClr val="accent4">
            <a:lumMod val="60000"/>
            <a:lumOff val="40000"/>
          </a:schemeClr>
        </a:solidFill>
        <a:scene3d>
          <a:camera prst="orthographicFront"/>
          <a:lightRig rig="threePt" dir="t"/>
        </a:scene3d>
        <a:sp3d>
          <a:bevelT w="165100" prst="coolSlan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100" b="1">
              <a:solidFill>
                <a:schemeClr val="accent5">
                  <a:lumMod val="50000"/>
                </a:schemeClr>
              </a:solidFill>
            </a:rPr>
            <a:t>Reset to Original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73025</xdr:colOff>
      <xdr:row>0</xdr:row>
      <xdr:rowOff>0</xdr:rowOff>
    </xdr:from>
    <xdr:to>
      <xdr:col>14</xdr:col>
      <xdr:colOff>377825</xdr:colOff>
      <xdr:row>15</xdr:row>
      <xdr:rowOff>127000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114300</xdr:colOff>
      <xdr:row>6</xdr:row>
      <xdr:rowOff>139700</xdr:rowOff>
    </xdr:from>
    <xdr:to>
      <xdr:col>1</xdr:col>
      <xdr:colOff>1155700</xdr:colOff>
      <xdr:row>8</xdr:row>
      <xdr:rowOff>82550</xdr:rowOff>
    </xdr:to>
    <xdr:sp macro="[0]!Quick_Totals" textlink="">
      <xdr:nvSpPr>
        <xdr:cNvPr id="2" name="Rounded Rectangle 1"/>
        <xdr:cNvSpPr/>
      </xdr:nvSpPr>
      <xdr:spPr>
        <a:xfrm>
          <a:off x="476250" y="1473200"/>
          <a:ext cx="1041400" cy="311150"/>
        </a:xfrm>
        <a:prstGeom prst="roundRect">
          <a:avLst/>
        </a:prstGeom>
        <a:solidFill>
          <a:schemeClr val="accent1">
            <a:lumMod val="50000"/>
          </a:scheme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accent4">
                  <a:lumMod val="60000"/>
                  <a:lumOff val="40000"/>
                </a:schemeClr>
              </a:solidFill>
            </a:rPr>
            <a:t>Quick Totals</a:t>
          </a:r>
        </a:p>
      </xdr:txBody>
    </xdr:sp>
    <xdr:clientData/>
  </xdr:twoCellAnchor>
  <xdr:twoCellAnchor>
    <xdr:from>
      <xdr:col>1</xdr:col>
      <xdr:colOff>107950</xdr:colOff>
      <xdr:row>4</xdr:row>
      <xdr:rowOff>63500</xdr:rowOff>
    </xdr:from>
    <xdr:to>
      <xdr:col>1</xdr:col>
      <xdr:colOff>1149350</xdr:colOff>
      <xdr:row>6</xdr:row>
      <xdr:rowOff>6350</xdr:rowOff>
    </xdr:to>
    <xdr:sp macro="[0]!Statistics_Worksheet" textlink="">
      <xdr:nvSpPr>
        <xdr:cNvPr id="3" name="Rounded Rectangle 2"/>
        <xdr:cNvSpPr/>
      </xdr:nvSpPr>
      <xdr:spPr>
        <a:xfrm>
          <a:off x="469900" y="1028700"/>
          <a:ext cx="1041400" cy="311150"/>
        </a:xfrm>
        <a:prstGeom prst="roundRect">
          <a:avLst/>
        </a:prstGeom>
        <a:solidFill>
          <a:schemeClr val="accent1">
            <a:lumMod val="50000"/>
          </a:scheme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accent4">
                  <a:lumMod val="60000"/>
                  <a:lumOff val="40000"/>
                </a:schemeClr>
              </a:solidFill>
            </a:rPr>
            <a:t>Statistics</a:t>
          </a:r>
        </a:p>
      </xdr:txBody>
    </xdr:sp>
    <xdr:clientData/>
  </xdr:twoCellAnchor>
  <xdr:twoCellAnchor>
    <xdr:from>
      <xdr:col>1</xdr:col>
      <xdr:colOff>95250</xdr:colOff>
      <xdr:row>9</xdr:row>
      <xdr:rowOff>57150</xdr:rowOff>
    </xdr:from>
    <xdr:to>
      <xdr:col>1</xdr:col>
      <xdr:colOff>1136650</xdr:colOff>
      <xdr:row>11</xdr:row>
      <xdr:rowOff>0</xdr:rowOff>
    </xdr:to>
    <xdr:sp macro="[0]!FontColor_Relative" textlink="">
      <xdr:nvSpPr>
        <xdr:cNvPr id="4" name="Rounded Rectangle 3"/>
        <xdr:cNvSpPr/>
      </xdr:nvSpPr>
      <xdr:spPr>
        <a:xfrm>
          <a:off x="457200" y="1943100"/>
          <a:ext cx="1041400" cy="311150"/>
        </a:xfrm>
        <a:prstGeom prst="roundRect">
          <a:avLst/>
        </a:prstGeom>
        <a:solidFill>
          <a:schemeClr val="accent1">
            <a:lumMod val="50000"/>
          </a:scheme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accent4">
                  <a:lumMod val="60000"/>
                  <a:lumOff val="40000"/>
                </a:schemeClr>
              </a:solidFill>
            </a:rPr>
            <a:t>Font Color</a:t>
          </a:r>
        </a:p>
      </xdr:txBody>
    </xdr:sp>
    <xdr:clientData/>
  </xdr:twoCellAnchor>
  <xdr:twoCellAnchor>
    <xdr:from>
      <xdr:col>1</xdr:col>
      <xdr:colOff>114300</xdr:colOff>
      <xdr:row>12</xdr:row>
      <xdr:rowOff>0</xdr:rowOff>
    </xdr:from>
    <xdr:to>
      <xdr:col>1</xdr:col>
      <xdr:colOff>1155700</xdr:colOff>
      <xdr:row>13</xdr:row>
      <xdr:rowOff>127000</xdr:rowOff>
    </xdr:to>
    <xdr:sp macro="[0]!StrikeThrough_Toggle" textlink="">
      <xdr:nvSpPr>
        <xdr:cNvPr id="5" name="Rounded Rectangle 4"/>
        <xdr:cNvSpPr/>
      </xdr:nvSpPr>
      <xdr:spPr>
        <a:xfrm>
          <a:off x="476250" y="2438400"/>
          <a:ext cx="1041400" cy="311150"/>
        </a:xfrm>
        <a:prstGeom prst="roundRect">
          <a:avLst/>
        </a:prstGeom>
        <a:solidFill>
          <a:schemeClr val="accent1">
            <a:lumMod val="50000"/>
          </a:scheme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accent4">
                  <a:lumMod val="60000"/>
                  <a:lumOff val="40000"/>
                </a:schemeClr>
              </a:solidFill>
            </a:rPr>
            <a:t>Strikethrough</a:t>
          </a:r>
        </a:p>
      </xdr:txBody>
    </xdr:sp>
    <xdr:clientData/>
  </xdr:twoCellAnchor>
  <xdr:twoCellAnchor>
    <xdr:from>
      <xdr:col>1</xdr:col>
      <xdr:colOff>107950</xdr:colOff>
      <xdr:row>17</xdr:row>
      <xdr:rowOff>31750</xdr:rowOff>
    </xdr:from>
    <xdr:to>
      <xdr:col>1</xdr:col>
      <xdr:colOff>1149350</xdr:colOff>
      <xdr:row>18</xdr:row>
      <xdr:rowOff>158750</xdr:rowOff>
    </xdr:to>
    <xdr:sp macro="[0]!GoToEnd" textlink="">
      <xdr:nvSpPr>
        <xdr:cNvPr id="6" name="Rounded Rectangle 5"/>
        <xdr:cNvSpPr/>
      </xdr:nvSpPr>
      <xdr:spPr>
        <a:xfrm>
          <a:off x="469900" y="3505200"/>
          <a:ext cx="1041400" cy="311150"/>
        </a:xfrm>
        <a:prstGeom prst="roundRect">
          <a:avLst/>
        </a:prstGeom>
        <a:solidFill>
          <a:schemeClr val="accent1">
            <a:lumMod val="50000"/>
          </a:scheme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accent4">
                  <a:lumMod val="60000"/>
                  <a:lumOff val="40000"/>
                </a:schemeClr>
              </a:solidFill>
            </a:rPr>
            <a:t>Go To End</a:t>
          </a:r>
        </a:p>
      </xdr:txBody>
    </xdr:sp>
    <xdr:clientData/>
  </xdr:twoCellAnchor>
  <xdr:twoCellAnchor>
    <xdr:from>
      <xdr:col>1</xdr:col>
      <xdr:colOff>120650</xdr:colOff>
      <xdr:row>14</xdr:row>
      <xdr:rowOff>120650</xdr:rowOff>
    </xdr:from>
    <xdr:to>
      <xdr:col>1</xdr:col>
      <xdr:colOff>1162050</xdr:colOff>
      <xdr:row>16</xdr:row>
      <xdr:rowOff>63500</xdr:rowOff>
    </xdr:to>
    <xdr:sp macro="[0]!Toggle_Fill" textlink="">
      <xdr:nvSpPr>
        <xdr:cNvPr id="7" name="Rounded Rectangle 6"/>
        <xdr:cNvSpPr/>
      </xdr:nvSpPr>
      <xdr:spPr>
        <a:xfrm>
          <a:off x="482600" y="3041650"/>
          <a:ext cx="1041400" cy="311150"/>
        </a:xfrm>
        <a:prstGeom prst="roundRect">
          <a:avLst/>
        </a:prstGeom>
        <a:solidFill>
          <a:schemeClr val="accent1">
            <a:lumMod val="50000"/>
          </a:scheme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accent4">
                  <a:lumMod val="60000"/>
                  <a:lumOff val="40000"/>
                </a:schemeClr>
              </a:solidFill>
            </a:rPr>
            <a:t>Cell Fill</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56931</xdr:colOff>
      <xdr:row>5</xdr:row>
      <xdr:rowOff>43793</xdr:rowOff>
    </xdr:from>
    <xdr:to>
      <xdr:col>9</xdr:col>
      <xdr:colOff>1737126</xdr:colOff>
      <xdr:row>16</xdr:row>
      <xdr:rowOff>102184</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122622</xdr:colOff>
      <xdr:row>5</xdr:row>
      <xdr:rowOff>36495</xdr:rowOff>
    </xdr:from>
    <xdr:to>
      <xdr:col>19</xdr:col>
      <xdr:colOff>1773622</xdr:colOff>
      <xdr:row>16</xdr:row>
      <xdr:rowOff>80288</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129919</xdr:colOff>
      <xdr:row>21</xdr:row>
      <xdr:rowOff>55326</xdr:rowOff>
    </xdr:from>
    <xdr:to>
      <xdr:col>9</xdr:col>
      <xdr:colOff>1766322</xdr:colOff>
      <xdr:row>32</xdr:row>
      <xdr:rowOff>124081</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188310</xdr:colOff>
      <xdr:row>21</xdr:row>
      <xdr:rowOff>58391</xdr:rowOff>
    </xdr:from>
    <xdr:to>
      <xdr:col>19</xdr:col>
      <xdr:colOff>1744425</xdr:colOff>
      <xdr:row>32</xdr:row>
      <xdr:rowOff>58391</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139700</xdr:colOff>
      <xdr:row>15</xdr:row>
      <xdr:rowOff>7056</xdr:rowOff>
    </xdr:from>
    <xdr:to>
      <xdr:col>16</xdr:col>
      <xdr:colOff>478366</xdr:colOff>
      <xdr:row>21</xdr:row>
      <xdr:rowOff>62089</xdr:rowOff>
    </xdr:to>
    <mc:AlternateContent xmlns:mc="http://schemas.openxmlformats.org/markup-compatibility/2006" xmlns:a14="http://schemas.microsoft.com/office/drawing/2010/main">
      <mc:Choice Requires="a14">
        <xdr:graphicFrame macro="">
          <xdr:nvGraphicFramePr>
            <xdr:cNvPr id="2" name="Store Location"/>
            <xdr:cNvGraphicFramePr/>
          </xdr:nvGraphicFramePr>
          <xdr:xfrm>
            <a:off x="0" y="0"/>
            <a:ext cx="0" cy="0"/>
          </xdr:xfrm>
          <a:graphic>
            <a:graphicData uri="http://schemas.microsoft.com/office/drawing/2010/slicer">
              <sle:slicer xmlns:sle="http://schemas.microsoft.com/office/drawing/2010/slicer" name="Store Location"/>
            </a:graphicData>
          </a:graphic>
        </xdr:graphicFrame>
      </mc:Choice>
      <mc:Fallback xmlns="">
        <xdr:sp macro="" textlink="">
          <xdr:nvSpPr>
            <xdr:cNvPr id="0" name=""/>
            <xdr:cNvSpPr>
              <a:spLocks noTextEdit="1"/>
            </xdr:cNvSpPr>
          </xdr:nvSpPr>
          <xdr:spPr>
            <a:xfrm>
              <a:off x="13164256" y="2806700"/>
              <a:ext cx="1820333" cy="12841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131940</xdr:colOff>
      <xdr:row>3</xdr:row>
      <xdr:rowOff>98072</xdr:rowOff>
    </xdr:from>
    <xdr:to>
      <xdr:col>16</xdr:col>
      <xdr:colOff>470606</xdr:colOff>
      <xdr:row>15</xdr:row>
      <xdr:rowOff>56444</xdr:rowOff>
    </xdr:to>
    <mc:AlternateContent xmlns:mc="http://schemas.openxmlformats.org/markup-compatibility/2006" xmlns:a14="http://schemas.microsoft.com/office/drawing/2010/main">
      <mc:Choice Requires="a14">
        <xdr:graphicFrame macro="">
          <xdr:nvGraphicFramePr>
            <xdr:cNvPr id="3"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3156496" y="768350"/>
              <a:ext cx="1820333" cy="19833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122766</xdr:colOff>
      <xdr:row>41</xdr:row>
      <xdr:rowOff>99483</xdr:rowOff>
    </xdr:from>
    <xdr:to>
      <xdr:col>16</xdr:col>
      <xdr:colOff>423333</xdr:colOff>
      <xdr:row>58</xdr:row>
      <xdr:rowOff>70556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176388</xdr:colOff>
      <xdr:row>24</xdr:row>
      <xdr:rowOff>105834</xdr:rowOff>
    </xdr:from>
    <xdr:to>
      <xdr:col>16</xdr:col>
      <xdr:colOff>409222</xdr:colOff>
      <xdr:row>39</xdr:row>
      <xdr:rowOff>77610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oneCellAnchor>
    <xdr:from>
      <xdr:col>1</xdr:col>
      <xdr:colOff>133350</xdr:colOff>
      <xdr:row>24</xdr:row>
      <xdr:rowOff>120650</xdr:rowOff>
    </xdr:from>
    <xdr:ext cx="6565900" cy="2000250"/>
    <xdr:sp macro="" textlink="">
      <xdr:nvSpPr>
        <xdr:cNvPr id="2" name="TextBox 1"/>
        <xdr:cNvSpPr txBox="1"/>
      </xdr:nvSpPr>
      <xdr:spPr>
        <a:xfrm>
          <a:off x="742950" y="4826000"/>
          <a:ext cx="6565900" cy="2000250"/>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baseline="0"/>
            <a:t>Cells Changing: </a:t>
          </a:r>
          <a:r>
            <a:rPr lang="en-US" sz="1100" b="0" baseline="0"/>
            <a:t>The cells changing for this are D8:D22</a:t>
          </a:r>
        </a:p>
        <a:p>
          <a:endParaRPr lang="en-US" sz="1100" b="0" baseline="0"/>
        </a:p>
        <a:p>
          <a:r>
            <a:rPr lang="en-US" sz="1100" b="1" baseline="0"/>
            <a:t>Constraints:</a:t>
          </a:r>
        </a:p>
        <a:p>
          <a:r>
            <a:rPr lang="en-US" sz="1100" b="0" baseline="0"/>
            <a:t>1) Managers can only work 40 hours per week</a:t>
          </a:r>
        </a:p>
        <a:p>
          <a:r>
            <a:rPr lang="en-US" sz="1100" b="0" baseline="0"/>
            <a:t>2) Supervisors and Employees can only work 20 hours per week</a:t>
          </a:r>
        </a:p>
        <a:p>
          <a:r>
            <a:rPr lang="en-US" sz="1100" b="0" baseline="0"/>
            <a:t>3) Managers need to work at least 30 hours per week</a:t>
          </a:r>
        </a:p>
        <a:p>
          <a:r>
            <a:rPr lang="en-US" sz="1100" b="0" baseline="0"/>
            <a:t>4) Supervisor need to work at least 10 hours a week</a:t>
          </a:r>
        </a:p>
        <a:p>
          <a:r>
            <a:rPr lang="en-US" sz="1100" b="0" baseline="0"/>
            <a:t>5) Employees need to work at least 6 hours a week</a:t>
          </a:r>
        </a:p>
        <a:p>
          <a:r>
            <a:rPr lang="en-US" sz="1100" b="0" baseline="0"/>
            <a:t>6) Budget is $5,000, therefore Total Pay for the week cannot be greater than $5,000</a:t>
          </a:r>
        </a:p>
        <a:p>
          <a:r>
            <a:rPr lang="en-US" sz="1100" b="0" baseline="0"/>
            <a:t>7) Days worked cannot be greater than 7 for each manager, supervisor, and employee</a:t>
          </a:r>
        </a:p>
        <a:p>
          <a:r>
            <a:rPr lang="en-US" sz="1100" b="0" baseline="0"/>
            <a:t>8) Number of hours worked is rounded to the nearest one hour, therefore it has to be a whole number</a:t>
          </a:r>
        </a:p>
      </xdr:txBody>
    </xdr:sp>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25400</xdr:colOff>
          <xdr:row>13</xdr:row>
          <xdr:rowOff>31750</xdr:rowOff>
        </xdr:from>
        <xdr:to>
          <xdr:col>3</xdr:col>
          <xdr:colOff>2393950</xdr:colOff>
          <xdr:row>13</xdr:row>
          <xdr:rowOff>406400</xdr:rowOff>
        </xdr:to>
        <xdr:sp macro="" textlink="">
          <xdr:nvSpPr>
            <xdr:cNvPr id="17409" name="Drop Down 1" hidden="1">
              <a:extLst>
                <a:ext uri="{63B3BB69-23CF-44E3-9099-C40C66FF867C}">
                  <a14:compatExt spid="_x0000_s17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14</xdr:row>
          <xdr:rowOff>0</xdr:rowOff>
        </xdr:from>
        <xdr:to>
          <xdr:col>4</xdr:col>
          <xdr:colOff>0</xdr:colOff>
          <xdr:row>14</xdr:row>
          <xdr:rowOff>368300</xdr:rowOff>
        </xdr:to>
        <xdr:sp macro="" textlink="">
          <xdr:nvSpPr>
            <xdr:cNvPr id="17410" name="Group Box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82550</xdr:rowOff>
        </xdr:from>
        <xdr:to>
          <xdr:col>3</xdr:col>
          <xdr:colOff>336550</xdr:colOff>
          <xdr:row>14</xdr:row>
          <xdr:rowOff>304800</xdr:rowOff>
        </xdr:to>
        <xdr:sp macro="" textlink="">
          <xdr:nvSpPr>
            <xdr:cNvPr id="17411" name="Option Button 3" hidden="1">
              <a:extLst>
                <a:ext uri="{63B3BB69-23CF-44E3-9099-C40C66FF867C}">
                  <a14:compatExt spid="_x0000_s17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615950</xdr:colOff>
          <xdr:row>14</xdr:row>
          <xdr:rowOff>82550</xdr:rowOff>
        </xdr:from>
        <xdr:to>
          <xdr:col>3</xdr:col>
          <xdr:colOff>819150</xdr:colOff>
          <xdr:row>14</xdr:row>
          <xdr:rowOff>304800</xdr:rowOff>
        </xdr:to>
        <xdr:sp macro="" textlink="">
          <xdr:nvSpPr>
            <xdr:cNvPr id="17412" name="Option Button 4" hidden="1">
              <a:extLst>
                <a:ext uri="{63B3BB69-23CF-44E3-9099-C40C66FF867C}">
                  <a14:compatExt spid="_x0000_s17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1092200</xdr:colOff>
          <xdr:row>14</xdr:row>
          <xdr:rowOff>82550</xdr:rowOff>
        </xdr:from>
        <xdr:to>
          <xdr:col>3</xdr:col>
          <xdr:colOff>1295400</xdr:colOff>
          <xdr:row>14</xdr:row>
          <xdr:rowOff>304800</xdr:rowOff>
        </xdr:to>
        <xdr:sp macro="" textlink="">
          <xdr:nvSpPr>
            <xdr:cNvPr id="17413" name="Option Button 5" hidden="1">
              <a:extLst>
                <a:ext uri="{63B3BB69-23CF-44E3-9099-C40C66FF867C}">
                  <a14:compatExt spid="_x0000_s174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1574800</xdr:colOff>
          <xdr:row>14</xdr:row>
          <xdr:rowOff>82550</xdr:rowOff>
        </xdr:from>
        <xdr:to>
          <xdr:col>3</xdr:col>
          <xdr:colOff>1778000</xdr:colOff>
          <xdr:row>14</xdr:row>
          <xdr:rowOff>304800</xdr:rowOff>
        </xdr:to>
        <xdr:sp macro="" textlink="">
          <xdr:nvSpPr>
            <xdr:cNvPr id="17414" name="Option Button 6" hidden="1">
              <a:extLst>
                <a:ext uri="{63B3BB69-23CF-44E3-9099-C40C66FF867C}">
                  <a14:compatExt spid="_x0000_s174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2057400</xdr:colOff>
          <xdr:row>14</xdr:row>
          <xdr:rowOff>82550</xdr:rowOff>
        </xdr:from>
        <xdr:to>
          <xdr:col>3</xdr:col>
          <xdr:colOff>2260600</xdr:colOff>
          <xdr:row>14</xdr:row>
          <xdr:rowOff>304800</xdr:rowOff>
        </xdr:to>
        <xdr:sp macro="" textlink="">
          <xdr:nvSpPr>
            <xdr:cNvPr id="17415" name="Option Button 7" hidden="1">
              <a:extLst>
                <a:ext uri="{63B3BB69-23CF-44E3-9099-C40C66FF867C}">
                  <a14:compatExt spid="_x0000_s174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806450</xdr:colOff>
          <xdr:row>8</xdr:row>
          <xdr:rowOff>425450</xdr:rowOff>
        </xdr:from>
        <xdr:to>
          <xdr:col>3</xdr:col>
          <xdr:colOff>1809750</xdr:colOff>
          <xdr:row>9</xdr:row>
          <xdr:rowOff>387350</xdr:rowOff>
        </xdr:to>
        <xdr:sp macro="" textlink="">
          <xdr:nvSpPr>
            <xdr:cNvPr id="17416" name="Check Box 8" hidden="1">
              <a:extLst>
                <a:ext uri="{63B3BB69-23CF-44E3-9099-C40C66FF867C}">
                  <a14:compatExt spid="_x0000_s174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New Customer</a:t>
              </a:r>
            </a:p>
          </xdr:txBody>
        </xdr:sp>
        <xdr:clientData/>
      </xdr:twoCellAnchor>
    </mc:Choice>
    <mc:Fallback/>
  </mc:AlternateContent>
  <xdr:twoCellAnchor>
    <xdr:from>
      <xdr:col>3</xdr:col>
      <xdr:colOff>1054100</xdr:colOff>
      <xdr:row>23</xdr:row>
      <xdr:rowOff>50800</xdr:rowOff>
    </xdr:from>
    <xdr:to>
      <xdr:col>3</xdr:col>
      <xdr:colOff>2406650</xdr:colOff>
      <xdr:row>25</xdr:row>
      <xdr:rowOff>6350</xdr:rowOff>
    </xdr:to>
    <xdr:sp macro="[0]!RewardsMemberOrder" textlink="">
      <xdr:nvSpPr>
        <xdr:cNvPr id="10" name="Rounded Rectangle 9"/>
        <xdr:cNvSpPr/>
      </xdr:nvSpPr>
      <xdr:spPr>
        <a:xfrm>
          <a:off x="3213100" y="6311900"/>
          <a:ext cx="1352550" cy="323850"/>
        </a:xfrm>
        <a:prstGeom prst="roundRect">
          <a:avLst/>
        </a:prstGeom>
        <a:scene3d>
          <a:camera prst="orthographicFront"/>
          <a:lightRig rig="threePt" dir="t"/>
        </a:scene3d>
        <a:sp3d>
          <a:bevelT w="165100" prst="coolSlan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ctr"/>
          <a:r>
            <a:rPr lang="en-US" sz="1200">
              <a:solidFill>
                <a:schemeClr val="tx2">
                  <a:lumMod val="50000"/>
                </a:schemeClr>
              </a:solidFill>
            </a:rPr>
            <a:t>Place</a:t>
          </a:r>
          <a:r>
            <a:rPr lang="en-US" sz="1200" baseline="0">
              <a:solidFill>
                <a:schemeClr val="tx2">
                  <a:lumMod val="50000"/>
                </a:schemeClr>
              </a:solidFill>
            </a:rPr>
            <a:t> Order</a:t>
          </a:r>
          <a:endParaRPr lang="en-US" sz="1100">
            <a:solidFill>
              <a:schemeClr val="tx2">
                <a:lumMod val="50000"/>
              </a:schemeClr>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71209</xdr:colOff>
      <xdr:row>2</xdr:row>
      <xdr:rowOff>123372</xdr:rowOff>
    </xdr:from>
    <xdr:to>
      <xdr:col>15</xdr:col>
      <xdr:colOff>552450</xdr:colOff>
      <xdr:row>3</xdr:row>
      <xdr:rowOff>88900</xdr:rowOff>
    </xdr:to>
    <xdr:sp macro="[0]!GoToOrders" textlink="">
      <xdr:nvSpPr>
        <xdr:cNvPr id="2" name="Rounded Rectangle 1"/>
        <xdr:cNvSpPr/>
      </xdr:nvSpPr>
      <xdr:spPr>
        <a:xfrm>
          <a:off x="13730059" y="605972"/>
          <a:ext cx="1090841" cy="314778"/>
        </a:xfrm>
        <a:prstGeom prst="roundRect">
          <a:avLst/>
        </a:prstGeom>
        <a:scene3d>
          <a:camera prst="orthographicFront"/>
          <a:lightRig rig="threePt" dir="t"/>
        </a:scene3d>
        <a:sp3d>
          <a:bevelT w="165100" prst="coolSlan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ctr"/>
          <a:r>
            <a:rPr lang="en-US" sz="1200">
              <a:solidFill>
                <a:schemeClr val="accent1">
                  <a:lumMod val="50000"/>
                </a:schemeClr>
              </a:solidFill>
            </a:rPr>
            <a:t>Go </a:t>
          </a:r>
          <a:r>
            <a:rPr lang="en-US" sz="1200" baseline="0">
              <a:solidFill>
                <a:schemeClr val="accent1">
                  <a:lumMod val="50000"/>
                </a:schemeClr>
              </a:solidFill>
            </a:rPr>
            <a:t> To Orders</a:t>
          </a:r>
          <a:endParaRPr lang="en-US" sz="1200">
            <a:solidFill>
              <a:schemeClr val="accent1">
                <a:lumMod val="50000"/>
              </a:schemeClr>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7</xdr:col>
      <xdr:colOff>82550</xdr:colOff>
      <xdr:row>17</xdr:row>
      <xdr:rowOff>6350</xdr:rowOff>
    </xdr:from>
    <xdr:to>
      <xdr:col>10</xdr:col>
      <xdr:colOff>609600</xdr:colOff>
      <xdr:row>24</xdr:row>
      <xdr:rowOff>127000</xdr:rowOff>
    </xdr:to>
    <mc:AlternateContent xmlns:mc="http://schemas.openxmlformats.org/markup-compatibility/2006" xmlns:tsle="http://schemas.microsoft.com/office/drawing/2012/timeslicer">
      <mc:Choice Requires="tsle">
        <xdr:graphicFrame macro="">
          <xdr:nvGraphicFramePr>
            <xdr:cNvPr id="3" name="Ordered Date 1"/>
            <xdr:cNvGraphicFramePr/>
          </xdr:nvGraphicFramePr>
          <xdr:xfrm>
            <a:off x="0" y="0"/>
            <a:ext cx="0" cy="0"/>
          </xdr:xfrm>
          <a:graphic>
            <a:graphicData uri="http://schemas.microsoft.com/office/drawing/2012/timeslicer">
              <tsle:timeslicer name="Ordered Date 1"/>
            </a:graphicData>
          </a:graphic>
        </xdr:graphicFrame>
      </mc:Choice>
      <mc:Fallback xmlns="">
        <xdr:sp macro="" textlink="">
          <xdr:nvSpPr>
            <xdr:cNvPr id="0" name=""/>
            <xdr:cNvSpPr>
              <a:spLocks noTextEdit="1"/>
            </xdr:cNvSpPr>
          </xdr:nvSpPr>
          <xdr:spPr>
            <a:xfrm>
              <a:off x="4749800" y="3251200"/>
              <a:ext cx="2940050" cy="14097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255763</xdr:colOff>
      <xdr:row>5</xdr:row>
      <xdr:rowOff>177271</xdr:rowOff>
    </xdr:from>
    <xdr:to>
      <xdr:col>10</xdr:col>
      <xdr:colOff>465313</xdr:colOff>
      <xdr:row>30</xdr:row>
      <xdr:rowOff>2955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557390</xdr:colOff>
      <xdr:row>17</xdr:row>
      <xdr:rowOff>42333</xdr:rowOff>
    </xdr:from>
    <xdr:to>
      <xdr:col>7</xdr:col>
      <xdr:colOff>522112</xdr:colOff>
      <xdr:row>20</xdr:row>
      <xdr:rowOff>63500</xdr:rowOff>
    </xdr:to>
    <xdr:sp macro="" textlink="">
      <xdr:nvSpPr>
        <xdr:cNvPr id="5" name="Oval 4"/>
        <xdr:cNvSpPr/>
      </xdr:nvSpPr>
      <xdr:spPr>
        <a:xfrm>
          <a:off x="8142112" y="3160889"/>
          <a:ext cx="571500" cy="571500"/>
        </a:xfrm>
        <a:prstGeom prst="ellipse">
          <a:avLst/>
        </a:prstGeom>
        <a:solidFill>
          <a:schemeClr val="accent5">
            <a:lumMod val="20000"/>
            <a:lumOff val="80000"/>
          </a:scheme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747886</xdr:colOff>
          <xdr:row>16</xdr:row>
          <xdr:rowOff>183440</xdr:rowOff>
        </xdr:from>
        <xdr:to>
          <xdr:col>8</xdr:col>
          <xdr:colOff>594645</xdr:colOff>
          <xdr:row>20</xdr:row>
          <xdr:rowOff>63498</xdr:rowOff>
        </xdr:to>
        <xdr:pic>
          <xdr:nvPicPr>
            <xdr:cNvPr id="13" name="Picture 12"/>
            <xdr:cNvPicPr>
              <a:picLocks noChangeAspect="1" noChangeArrowheads="1"/>
              <a:extLst>
                <a:ext uri="{84589F7E-364E-4C9E-8A38-B11213B215E9}">
                  <a14:cameraTool cellRange="$J$4" spid="_x0000_s20526"/>
                </a:ext>
              </a:extLst>
            </xdr:cNvPicPr>
          </xdr:nvPicPr>
          <xdr:blipFill>
            <a:blip xmlns:r="http://schemas.openxmlformats.org/officeDocument/2006/relationships" r:embed="rId2"/>
            <a:srcRect/>
            <a:stretch>
              <a:fillRect/>
            </a:stretch>
          </xdr:blipFill>
          <xdr:spPr bwMode="auto">
            <a:xfrm>
              <a:off x="7260164" y="3252607"/>
              <a:ext cx="1906981" cy="613835"/>
            </a:xfrm>
            <a:prstGeom prst="rect">
              <a:avLst/>
            </a:prstGeom>
            <a:noFill/>
            <a:ln>
              <a:noFill/>
            </a:ln>
            <a:effectLst>
              <a:softEdge rad="0"/>
            </a:effectLst>
          </xdr:spPr>
        </xdr:pic>
        <xdr:clientData/>
      </xdr:twoCellAnchor>
    </mc:Choice>
    <mc:Fallback/>
  </mc:AlternateContent>
  <xdr:twoCellAnchor editAs="oneCell">
    <xdr:from>
      <xdr:col>15</xdr:col>
      <xdr:colOff>0</xdr:colOff>
      <xdr:row>10</xdr:row>
      <xdr:rowOff>0</xdr:rowOff>
    </xdr:from>
    <xdr:to>
      <xdr:col>15</xdr:col>
      <xdr:colOff>304800</xdr:colOff>
      <xdr:row>11</xdr:row>
      <xdr:rowOff>120650</xdr:rowOff>
    </xdr:to>
    <xdr:sp macro="" textlink="">
      <xdr:nvSpPr>
        <xdr:cNvPr id="20502" name="AutoShape 22" descr="Happy Emoji Png High-quality Image - Transparent Background Emoji Png, Png  Download , Transparent Png Image - PNGitem"/>
        <xdr:cNvSpPr>
          <a:spLocks noChangeAspect="1" noChangeArrowheads="1"/>
        </xdr:cNvSpPr>
      </xdr:nvSpPr>
      <xdr:spPr bwMode="auto">
        <a:xfrm>
          <a:off x="13074650" y="1847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18</xdr:col>
      <xdr:colOff>0</xdr:colOff>
      <xdr:row>16</xdr:row>
      <xdr:rowOff>0</xdr:rowOff>
    </xdr:from>
    <xdr:to>
      <xdr:col>18</xdr:col>
      <xdr:colOff>304800</xdr:colOff>
      <xdr:row>17</xdr:row>
      <xdr:rowOff>120650</xdr:rowOff>
    </xdr:to>
    <xdr:sp macro="" textlink="">
      <xdr:nvSpPr>
        <xdr:cNvPr id="20504" name="AutoShape 24" descr="Happy Emoji Png High-quality Image - Transparent Background Emoji Png, Png  Download , Transparent Png Image - PNGitem"/>
        <xdr:cNvSpPr>
          <a:spLocks noChangeAspect="1" noChangeArrowheads="1"/>
        </xdr:cNvSpPr>
      </xdr:nvSpPr>
      <xdr:spPr bwMode="auto">
        <a:xfrm>
          <a:off x="14903450" y="2952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18</xdr:col>
      <xdr:colOff>0</xdr:colOff>
      <xdr:row>16</xdr:row>
      <xdr:rowOff>0</xdr:rowOff>
    </xdr:from>
    <xdr:to>
      <xdr:col>18</xdr:col>
      <xdr:colOff>304800</xdr:colOff>
      <xdr:row>17</xdr:row>
      <xdr:rowOff>120650</xdr:rowOff>
    </xdr:to>
    <xdr:sp macro="" textlink="">
      <xdr:nvSpPr>
        <xdr:cNvPr id="20505" name="AutoShape 25" descr="Happy Emoji Png High-quality Image - Transparent Background Emoji Png, Png  Download , Transparent Png Image - PNGitem"/>
        <xdr:cNvSpPr>
          <a:spLocks noChangeAspect="1" noChangeArrowheads="1"/>
        </xdr:cNvSpPr>
      </xdr:nvSpPr>
      <xdr:spPr bwMode="auto">
        <a:xfrm>
          <a:off x="14903450" y="2952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4</xdr:col>
      <xdr:colOff>447660</xdr:colOff>
      <xdr:row>13</xdr:row>
      <xdr:rowOff>130897</xdr:rowOff>
    </xdr:from>
    <xdr:ext cx="264560" cy="750655"/>
    <xdr:sp macro="" textlink="">
      <xdr:nvSpPr>
        <xdr:cNvPr id="9" name="TextBox 8"/>
        <xdr:cNvSpPr txBox="1"/>
      </xdr:nvSpPr>
      <xdr:spPr>
        <a:xfrm rot="17238789">
          <a:off x="6032501" y="2892778"/>
          <a:ext cx="7506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u="none"/>
            <a:t>Very Poor</a:t>
          </a:r>
        </a:p>
      </xdr:txBody>
    </xdr:sp>
    <xdr:clientData/>
  </xdr:oneCellAnchor>
  <xdr:oneCellAnchor>
    <xdr:from>
      <xdr:col>5</xdr:col>
      <xdr:colOff>285382</xdr:colOff>
      <xdr:row>9</xdr:row>
      <xdr:rowOff>173231</xdr:rowOff>
    </xdr:from>
    <xdr:ext cx="455509" cy="264560"/>
    <xdr:sp macro="" textlink="">
      <xdr:nvSpPr>
        <xdr:cNvPr id="18" name="TextBox 17"/>
        <xdr:cNvSpPr txBox="1"/>
      </xdr:nvSpPr>
      <xdr:spPr>
        <a:xfrm rot="19188711">
          <a:off x="6797660" y="1958287"/>
          <a:ext cx="45550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Poor</a:t>
          </a:r>
        </a:p>
      </xdr:txBody>
    </xdr:sp>
    <xdr:clientData/>
  </xdr:oneCellAnchor>
  <xdr:oneCellAnchor>
    <xdr:from>
      <xdr:col>6</xdr:col>
      <xdr:colOff>522449</xdr:colOff>
      <xdr:row>8</xdr:row>
      <xdr:rowOff>1074</xdr:rowOff>
    </xdr:from>
    <xdr:ext cx="653640" cy="264560"/>
    <xdr:sp macro="" textlink="">
      <xdr:nvSpPr>
        <xdr:cNvPr id="19" name="TextBox 18"/>
        <xdr:cNvSpPr txBox="1"/>
      </xdr:nvSpPr>
      <xdr:spPr>
        <a:xfrm>
          <a:off x="7810838" y="1602685"/>
          <a:ext cx="65364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Average</a:t>
          </a:r>
        </a:p>
      </xdr:txBody>
    </xdr:sp>
    <xdr:clientData/>
  </xdr:oneCellAnchor>
  <xdr:oneCellAnchor>
    <xdr:from>
      <xdr:col>8</xdr:col>
      <xdr:colOff>456127</xdr:colOff>
      <xdr:row>10</xdr:row>
      <xdr:rowOff>33530</xdr:rowOff>
    </xdr:from>
    <xdr:ext cx="496546" cy="264560"/>
    <xdr:sp macro="" textlink="">
      <xdr:nvSpPr>
        <xdr:cNvPr id="20" name="TextBox 19"/>
        <xdr:cNvSpPr txBox="1"/>
      </xdr:nvSpPr>
      <xdr:spPr>
        <a:xfrm rot="2329287">
          <a:off x="8958071" y="2002030"/>
          <a:ext cx="49654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Good</a:t>
          </a:r>
        </a:p>
      </xdr:txBody>
    </xdr:sp>
    <xdr:clientData/>
  </xdr:oneCellAnchor>
  <xdr:oneCellAnchor>
    <xdr:from>
      <xdr:col>10</xdr:col>
      <xdr:colOff>29387</xdr:colOff>
      <xdr:row>14</xdr:row>
      <xdr:rowOff>3070</xdr:rowOff>
    </xdr:from>
    <xdr:ext cx="264560" cy="700833"/>
    <xdr:sp macro="" textlink="">
      <xdr:nvSpPr>
        <xdr:cNvPr id="21" name="TextBox 20"/>
        <xdr:cNvSpPr txBox="1"/>
      </xdr:nvSpPr>
      <xdr:spPr>
        <a:xfrm rot="4404437">
          <a:off x="9526750" y="2923485"/>
          <a:ext cx="70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Excellent</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Shyam Parmar" refreshedDate="44312.999764236112" createdVersion="5" refreshedVersion="5" minRefreshableVersion="3" recordCount="36">
  <cacheSource type="worksheet">
    <worksheetSource ref="B4:E40" sheet="Location Sales"/>
  </cacheSource>
  <cacheFields count="5">
    <cacheField name="Store Location" numFmtId="0">
      <sharedItems count="3">
        <s v="Tampa"/>
        <s v="St. Pete"/>
        <s v="Orlando"/>
      </sharedItems>
    </cacheField>
    <cacheField name="Month" numFmtId="1">
      <sharedItems count="16">
        <s v="January"/>
        <s v="February"/>
        <s v="March"/>
        <s v="April"/>
        <s v="May"/>
        <s v="June"/>
        <s v="July"/>
        <s v="August"/>
        <s v="September"/>
        <s v="October"/>
        <s v="November"/>
        <s v="December"/>
        <s v="Qtr 1 " f="1"/>
        <s v="Qtr 3" f="1"/>
        <s v="Formula2" f="1"/>
        <s v="Formula1" f="1"/>
      </sharedItems>
    </cacheField>
    <cacheField name="Sales " numFmtId="168">
      <sharedItems containsSemiMixedTypes="0" containsString="0" containsNumber="1" containsInteger="1" minValue="151973" maxValue="348427"/>
    </cacheField>
    <cacheField name="Units Sold" numFmtId="1">
      <sharedItems containsSemiMixedTypes="0" containsString="0" containsNumber="1" containsInteger="1" minValue="519" maxValue="4904"/>
    </cacheField>
    <cacheField name="Ave Price" numFmtId="0" formula="'Sales '/'Units Sold'" databaseField="0"/>
  </cacheFields>
  <calculatedItems count="4">
    <calculatedItem formula=" (Month[January]+Month[February]+Month[March])">
      <pivotArea cacheIndex="1" outline="0" fieldPosition="0">
        <references count="1">
          <reference field="1" count="1">
            <x v="12"/>
          </reference>
        </references>
      </pivotArea>
    </calculatedItem>
    <calculatedItem formula=" (Month[April]+Month[May]+Month[June])">
      <pivotArea cacheIndex="1" outline="0" fieldPosition="0">
        <references count="1">
          <reference field="1" count="1">
            <x v="15"/>
          </reference>
        </references>
      </pivotArea>
    </calculatedItem>
    <calculatedItem formula="Month[July]+Month[August]+Month[September]">
      <pivotArea cacheIndex="1" outline="0" fieldPosition="0">
        <references count="1">
          <reference field="1" count="1">
            <x v="13"/>
          </reference>
        </references>
      </pivotArea>
    </calculatedItem>
    <calculatedItem formula="Month[October]+Month[November]+Month[December]">
      <pivotArea cacheIndex="1" outline="0" fieldPosition="0">
        <references count="1">
          <reference field="1" count="1">
            <x v="14"/>
          </reference>
        </references>
      </pivotArea>
    </calculatedItem>
  </calculatedItem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Shyam Parmar" refreshedDate="44312.999764583335" createdVersion="5" refreshedVersion="5" minRefreshableVersion="3" recordCount="36">
  <cacheSource type="worksheet">
    <worksheetSource ref="B4:D40" sheet="Location Sales"/>
  </cacheSource>
  <cacheFields count="3">
    <cacheField name="Store Location" numFmtId="0">
      <sharedItems count="3">
        <s v="Tampa"/>
        <s v="St. Pete"/>
        <s v="Orlando"/>
      </sharedItems>
    </cacheField>
    <cacheField name="Month" numFmtId="1">
      <sharedItems count="12">
        <s v="January"/>
        <s v="February"/>
        <s v="March"/>
        <s v="April"/>
        <s v="May"/>
        <s v="June"/>
        <s v="July"/>
        <s v="August"/>
        <s v="September"/>
        <s v="October"/>
        <s v="November"/>
        <s v="December"/>
      </sharedItems>
    </cacheField>
    <cacheField name="Sales " numFmtId="168">
      <sharedItems containsSemiMixedTypes="0" containsString="0" containsNumber="1" containsInteger="1" minValue="151973" maxValue="348427"/>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Shyam Parmar" refreshedDate="44313.001045486111" createdVersion="5" refreshedVersion="5" minRefreshableVersion="3" recordCount="1216">
  <cacheSource type="worksheet">
    <worksheetSource ref="B4:F1220" sheet="Event Orders"/>
  </cacheSource>
  <cacheFields count="7">
    <cacheField name="Ordered Date" numFmtId="14">
      <sharedItems containsSemiMixedTypes="0" containsNonDate="0" containsDate="1" containsString="0" minDate="2018-01-01T00:00:00" maxDate="2021-05-01T00:00:00" count="1216">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d v="2020-01-01T00:00:00"/>
        <d v="2020-01-02T00:00:00"/>
        <d v="2020-01-03T00:00:00"/>
        <d v="2020-01-04T00:00:00"/>
        <d v="2020-01-05T00:00:00"/>
        <d v="2020-01-06T00:00:00"/>
        <d v="2020-01-07T00:00:00"/>
        <d v="2020-01-08T00:00:00"/>
        <d v="2020-01-09T00:00:00"/>
        <d v="2020-01-10T00:00:00"/>
        <d v="2020-01-11T00:00:00"/>
        <d v="2020-01-12T00:00:00"/>
        <d v="2020-01-13T00:00:00"/>
        <d v="2020-01-14T00:00:00"/>
        <d v="2020-01-15T00:00:00"/>
        <d v="2020-01-16T00:00:00"/>
        <d v="2020-01-17T00:00:00"/>
        <d v="2020-01-18T00:00:00"/>
        <d v="2020-01-19T00:00:00"/>
        <d v="2020-01-20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1T00:00:00"/>
        <d v="2020-10-12T00:00:00"/>
        <d v="2020-10-13T00:00:00"/>
        <d v="2020-10-14T00:00:00"/>
        <d v="2020-10-15T00:00:00"/>
        <d v="2020-10-16T00:00:00"/>
        <d v="2020-10-17T00:00:00"/>
        <d v="2020-10-18T00:00:00"/>
        <d v="2020-10-19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sharedItems>
      <fieldGroup par="6" base="0">
        <rangePr groupBy="months" startDate="2018-01-01T00:00:00" endDate="2021-05-01T00:00:00"/>
        <groupItems count="14">
          <s v="&lt;1/1/2018"/>
          <s v="Jan"/>
          <s v="Feb"/>
          <s v="Mar"/>
          <s v="Apr"/>
          <s v="May"/>
          <s v="Jun"/>
          <s v="Jul"/>
          <s v="Aug"/>
          <s v="Sep"/>
          <s v="Oct"/>
          <s v="Nov"/>
          <s v="Dec"/>
          <s v="&gt;5/1/2021"/>
        </groupItems>
      </fieldGroup>
    </cacheField>
    <cacheField name="Customer" numFmtId="0">
      <sharedItems count="2">
        <s v="New"/>
        <s v="Existing"/>
      </sharedItems>
    </cacheField>
    <cacheField name="Product" numFmtId="0">
      <sharedItems count="10">
        <s v="Beer"/>
        <s v="Whiskey"/>
        <s v="Wine"/>
        <s v="Liquer"/>
        <s v="Gin"/>
        <s v="Champagne"/>
        <s v="Vodka"/>
        <s v="Rum"/>
        <s v="Brandy"/>
        <s v="Cognac"/>
      </sharedItems>
    </cacheField>
    <cacheField name="Units" numFmtId="0">
      <sharedItems containsSemiMixedTypes="0" containsString="0" containsNumber="1" containsInteger="1" minValue="1" maxValue="5"/>
    </cacheField>
    <cacheField name="Total" numFmtId="164">
      <sharedItems containsSemiMixedTypes="0" containsString="0" containsNumber="1" containsInteger="1" minValue="15" maxValue="70"/>
    </cacheField>
    <cacheField name="Quarters" numFmtId="0" databaseField="0">
      <fieldGroup base="0">
        <rangePr groupBy="quarters" startDate="2018-01-01T00:00:00" endDate="2021-05-01T00:00:00"/>
        <groupItems count="6">
          <s v="&lt;1/1/2018"/>
          <s v="Qtr1"/>
          <s v="Qtr2"/>
          <s v="Qtr3"/>
          <s v="Qtr4"/>
          <s v="&gt;5/1/2021"/>
        </groupItems>
      </fieldGroup>
    </cacheField>
    <cacheField name="Years" numFmtId="0" databaseField="0">
      <fieldGroup base="0">
        <rangePr groupBy="years" startDate="2018-01-01T00:00:00" endDate="2021-05-01T00:00:00"/>
        <groupItems count="6">
          <s v="&lt;1/1/2018"/>
          <s v="2018"/>
          <s v="2019"/>
          <s v="2020"/>
          <s v="2021"/>
          <s v="&gt;5/1/2021"/>
        </groupItems>
      </fieldGroup>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36">
  <r>
    <x v="0"/>
    <x v="0"/>
    <n v="301730"/>
    <n v="1853"/>
  </r>
  <r>
    <x v="0"/>
    <x v="1"/>
    <n v="222997"/>
    <n v="1845"/>
  </r>
  <r>
    <x v="0"/>
    <x v="2"/>
    <n v="190628"/>
    <n v="2865"/>
  </r>
  <r>
    <x v="0"/>
    <x v="3"/>
    <n v="170727"/>
    <n v="1599"/>
  </r>
  <r>
    <x v="0"/>
    <x v="4"/>
    <n v="275106"/>
    <n v="2790"/>
  </r>
  <r>
    <x v="0"/>
    <x v="5"/>
    <n v="306023"/>
    <n v="4592"/>
  </r>
  <r>
    <x v="0"/>
    <x v="6"/>
    <n v="259096"/>
    <n v="2041"/>
  </r>
  <r>
    <x v="0"/>
    <x v="7"/>
    <n v="252742"/>
    <n v="2771"/>
  </r>
  <r>
    <x v="0"/>
    <x v="8"/>
    <n v="187474"/>
    <n v="3819"/>
  </r>
  <r>
    <x v="0"/>
    <x v="9"/>
    <n v="270859"/>
    <n v="2374"/>
  </r>
  <r>
    <x v="0"/>
    <x v="10"/>
    <n v="195094"/>
    <n v="4115"/>
  </r>
  <r>
    <x v="0"/>
    <x v="11"/>
    <n v="251324"/>
    <n v="519"/>
  </r>
  <r>
    <x v="1"/>
    <x v="0"/>
    <n v="189276"/>
    <n v="2450"/>
  </r>
  <r>
    <x v="1"/>
    <x v="1"/>
    <n v="182635"/>
    <n v="4071"/>
  </r>
  <r>
    <x v="1"/>
    <x v="2"/>
    <n v="151973"/>
    <n v="1901"/>
  </r>
  <r>
    <x v="1"/>
    <x v="3"/>
    <n v="297738"/>
    <n v="2613"/>
  </r>
  <r>
    <x v="1"/>
    <x v="4"/>
    <n v="232284"/>
    <n v="1075"/>
  </r>
  <r>
    <x v="1"/>
    <x v="5"/>
    <n v="178678"/>
    <n v="729"/>
  </r>
  <r>
    <x v="1"/>
    <x v="6"/>
    <n v="205420"/>
    <n v="4904"/>
  </r>
  <r>
    <x v="1"/>
    <x v="7"/>
    <n v="274089"/>
    <n v="1272"/>
  </r>
  <r>
    <x v="1"/>
    <x v="8"/>
    <n v="317175"/>
    <n v="1963"/>
  </r>
  <r>
    <x v="1"/>
    <x v="9"/>
    <n v="198789"/>
    <n v="3186"/>
  </r>
  <r>
    <x v="1"/>
    <x v="10"/>
    <n v="181078"/>
    <n v="1136"/>
  </r>
  <r>
    <x v="1"/>
    <x v="11"/>
    <n v="306670"/>
    <n v="1210"/>
  </r>
  <r>
    <x v="2"/>
    <x v="0"/>
    <n v="276801"/>
    <n v="1060"/>
  </r>
  <r>
    <x v="2"/>
    <x v="1"/>
    <n v="164630"/>
    <n v="2472"/>
  </r>
  <r>
    <x v="2"/>
    <x v="2"/>
    <n v="237568"/>
    <n v="2520"/>
  </r>
  <r>
    <x v="2"/>
    <x v="3"/>
    <n v="241053"/>
    <n v="3494"/>
  </r>
  <r>
    <x v="2"/>
    <x v="4"/>
    <n v="162256"/>
    <n v="3750"/>
  </r>
  <r>
    <x v="2"/>
    <x v="5"/>
    <n v="185111"/>
    <n v="1971"/>
  </r>
  <r>
    <x v="2"/>
    <x v="6"/>
    <n v="348427"/>
    <n v="775"/>
  </r>
  <r>
    <x v="2"/>
    <x v="7"/>
    <n v="229450"/>
    <n v="760"/>
  </r>
  <r>
    <x v="2"/>
    <x v="8"/>
    <n v="311776"/>
    <n v="2951"/>
  </r>
  <r>
    <x v="2"/>
    <x v="9"/>
    <n v="190984"/>
    <n v="1839"/>
  </r>
  <r>
    <x v="2"/>
    <x v="10"/>
    <n v="229202"/>
    <n v="3793"/>
  </r>
  <r>
    <x v="2"/>
    <x v="11"/>
    <n v="322907"/>
    <n v="2498"/>
  </r>
</pivotCacheRecords>
</file>

<file path=xl/pivotCache/pivotCacheRecords2.xml><?xml version="1.0" encoding="utf-8"?>
<pivotCacheRecords xmlns="http://schemas.openxmlformats.org/spreadsheetml/2006/main" xmlns:r="http://schemas.openxmlformats.org/officeDocument/2006/relationships" count="36">
  <r>
    <x v="0"/>
    <x v="0"/>
    <n v="301730"/>
  </r>
  <r>
    <x v="0"/>
    <x v="1"/>
    <n v="222997"/>
  </r>
  <r>
    <x v="0"/>
    <x v="2"/>
    <n v="190628"/>
  </r>
  <r>
    <x v="0"/>
    <x v="3"/>
    <n v="170727"/>
  </r>
  <r>
    <x v="0"/>
    <x v="4"/>
    <n v="275106"/>
  </r>
  <r>
    <x v="0"/>
    <x v="5"/>
    <n v="306023"/>
  </r>
  <r>
    <x v="0"/>
    <x v="6"/>
    <n v="259096"/>
  </r>
  <r>
    <x v="0"/>
    <x v="7"/>
    <n v="252742"/>
  </r>
  <r>
    <x v="0"/>
    <x v="8"/>
    <n v="187474"/>
  </r>
  <r>
    <x v="0"/>
    <x v="9"/>
    <n v="270859"/>
  </r>
  <r>
    <x v="0"/>
    <x v="10"/>
    <n v="195094"/>
  </r>
  <r>
    <x v="0"/>
    <x v="11"/>
    <n v="251324"/>
  </r>
  <r>
    <x v="1"/>
    <x v="0"/>
    <n v="189276"/>
  </r>
  <r>
    <x v="1"/>
    <x v="1"/>
    <n v="182635"/>
  </r>
  <r>
    <x v="1"/>
    <x v="2"/>
    <n v="151973"/>
  </r>
  <r>
    <x v="1"/>
    <x v="3"/>
    <n v="297738"/>
  </r>
  <r>
    <x v="1"/>
    <x v="4"/>
    <n v="232284"/>
  </r>
  <r>
    <x v="1"/>
    <x v="5"/>
    <n v="178678"/>
  </r>
  <r>
    <x v="1"/>
    <x v="6"/>
    <n v="205420"/>
  </r>
  <r>
    <x v="1"/>
    <x v="7"/>
    <n v="274089"/>
  </r>
  <r>
    <x v="1"/>
    <x v="8"/>
    <n v="317175"/>
  </r>
  <r>
    <x v="1"/>
    <x v="9"/>
    <n v="198789"/>
  </r>
  <r>
    <x v="1"/>
    <x v="10"/>
    <n v="181078"/>
  </r>
  <r>
    <x v="1"/>
    <x v="11"/>
    <n v="306670"/>
  </r>
  <r>
    <x v="2"/>
    <x v="0"/>
    <n v="276801"/>
  </r>
  <r>
    <x v="2"/>
    <x v="1"/>
    <n v="164630"/>
  </r>
  <r>
    <x v="2"/>
    <x v="2"/>
    <n v="237568"/>
  </r>
  <r>
    <x v="2"/>
    <x v="3"/>
    <n v="241053"/>
  </r>
  <r>
    <x v="2"/>
    <x v="4"/>
    <n v="162256"/>
  </r>
  <r>
    <x v="2"/>
    <x v="5"/>
    <n v="185111"/>
  </r>
  <r>
    <x v="2"/>
    <x v="6"/>
    <n v="348427"/>
  </r>
  <r>
    <x v="2"/>
    <x v="7"/>
    <n v="229450"/>
  </r>
  <r>
    <x v="2"/>
    <x v="8"/>
    <n v="311776"/>
  </r>
  <r>
    <x v="2"/>
    <x v="9"/>
    <n v="190984"/>
  </r>
  <r>
    <x v="2"/>
    <x v="10"/>
    <n v="229202"/>
  </r>
  <r>
    <x v="2"/>
    <x v="11"/>
    <n v="322907"/>
  </r>
</pivotCacheRecords>
</file>

<file path=xl/pivotCache/pivotCacheRecords3.xml><?xml version="1.0" encoding="utf-8"?>
<pivotCacheRecords xmlns="http://schemas.openxmlformats.org/spreadsheetml/2006/main" xmlns:r="http://schemas.openxmlformats.org/officeDocument/2006/relationships" count="1216">
  <r>
    <x v="0"/>
    <x v="0"/>
    <x v="0"/>
    <n v="3"/>
    <n v="51"/>
  </r>
  <r>
    <x v="1"/>
    <x v="0"/>
    <x v="1"/>
    <n v="5"/>
    <n v="24"/>
  </r>
  <r>
    <x v="2"/>
    <x v="0"/>
    <x v="2"/>
    <n v="4"/>
    <n v="45"/>
  </r>
  <r>
    <x v="3"/>
    <x v="1"/>
    <x v="3"/>
    <n v="4"/>
    <n v="19"/>
  </r>
  <r>
    <x v="4"/>
    <x v="0"/>
    <x v="2"/>
    <n v="1"/>
    <n v="62"/>
  </r>
  <r>
    <x v="5"/>
    <x v="1"/>
    <x v="3"/>
    <n v="3"/>
    <n v="56"/>
  </r>
  <r>
    <x v="6"/>
    <x v="0"/>
    <x v="4"/>
    <n v="3"/>
    <n v="18"/>
  </r>
  <r>
    <x v="7"/>
    <x v="1"/>
    <x v="2"/>
    <n v="2"/>
    <n v="57"/>
  </r>
  <r>
    <x v="8"/>
    <x v="1"/>
    <x v="5"/>
    <n v="5"/>
    <n v="61"/>
  </r>
  <r>
    <x v="9"/>
    <x v="1"/>
    <x v="2"/>
    <n v="2"/>
    <n v="44"/>
  </r>
  <r>
    <x v="10"/>
    <x v="1"/>
    <x v="3"/>
    <n v="4"/>
    <n v="36"/>
  </r>
  <r>
    <x v="11"/>
    <x v="0"/>
    <x v="6"/>
    <n v="1"/>
    <n v="45"/>
  </r>
  <r>
    <x v="12"/>
    <x v="0"/>
    <x v="6"/>
    <n v="2"/>
    <n v="31"/>
  </r>
  <r>
    <x v="13"/>
    <x v="1"/>
    <x v="7"/>
    <n v="5"/>
    <n v="58"/>
  </r>
  <r>
    <x v="14"/>
    <x v="0"/>
    <x v="5"/>
    <n v="3"/>
    <n v="47"/>
  </r>
  <r>
    <x v="15"/>
    <x v="0"/>
    <x v="6"/>
    <n v="4"/>
    <n v="69"/>
  </r>
  <r>
    <x v="16"/>
    <x v="1"/>
    <x v="8"/>
    <n v="3"/>
    <n v="21"/>
  </r>
  <r>
    <x v="17"/>
    <x v="1"/>
    <x v="1"/>
    <n v="4"/>
    <n v="54"/>
  </r>
  <r>
    <x v="18"/>
    <x v="0"/>
    <x v="6"/>
    <n v="4"/>
    <n v="63"/>
  </r>
  <r>
    <x v="19"/>
    <x v="1"/>
    <x v="2"/>
    <n v="1"/>
    <n v="43"/>
  </r>
  <r>
    <x v="20"/>
    <x v="1"/>
    <x v="1"/>
    <n v="1"/>
    <n v="52"/>
  </r>
  <r>
    <x v="21"/>
    <x v="0"/>
    <x v="3"/>
    <n v="1"/>
    <n v="55"/>
  </r>
  <r>
    <x v="22"/>
    <x v="1"/>
    <x v="0"/>
    <n v="4"/>
    <n v="29"/>
  </r>
  <r>
    <x v="23"/>
    <x v="1"/>
    <x v="4"/>
    <n v="1"/>
    <n v="23"/>
  </r>
  <r>
    <x v="24"/>
    <x v="1"/>
    <x v="4"/>
    <n v="4"/>
    <n v="68"/>
  </r>
  <r>
    <x v="25"/>
    <x v="0"/>
    <x v="8"/>
    <n v="1"/>
    <n v="56"/>
  </r>
  <r>
    <x v="26"/>
    <x v="0"/>
    <x v="8"/>
    <n v="2"/>
    <n v="38"/>
  </r>
  <r>
    <x v="27"/>
    <x v="1"/>
    <x v="4"/>
    <n v="2"/>
    <n v="31"/>
  </r>
  <r>
    <x v="28"/>
    <x v="1"/>
    <x v="9"/>
    <n v="1"/>
    <n v="38"/>
  </r>
  <r>
    <x v="29"/>
    <x v="1"/>
    <x v="7"/>
    <n v="5"/>
    <n v="68"/>
  </r>
  <r>
    <x v="30"/>
    <x v="0"/>
    <x v="1"/>
    <n v="5"/>
    <n v="60"/>
  </r>
  <r>
    <x v="31"/>
    <x v="1"/>
    <x v="1"/>
    <n v="3"/>
    <n v="49"/>
  </r>
  <r>
    <x v="32"/>
    <x v="0"/>
    <x v="1"/>
    <n v="3"/>
    <n v="48"/>
  </r>
  <r>
    <x v="33"/>
    <x v="1"/>
    <x v="2"/>
    <n v="5"/>
    <n v="57"/>
  </r>
  <r>
    <x v="34"/>
    <x v="0"/>
    <x v="7"/>
    <n v="4"/>
    <n v="22"/>
  </r>
  <r>
    <x v="35"/>
    <x v="1"/>
    <x v="1"/>
    <n v="4"/>
    <n v="26"/>
  </r>
  <r>
    <x v="36"/>
    <x v="1"/>
    <x v="5"/>
    <n v="1"/>
    <n v="29"/>
  </r>
  <r>
    <x v="37"/>
    <x v="1"/>
    <x v="9"/>
    <n v="1"/>
    <n v="31"/>
  </r>
  <r>
    <x v="38"/>
    <x v="0"/>
    <x v="6"/>
    <n v="2"/>
    <n v="45"/>
  </r>
  <r>
    <x v="39"/>
    <x v="0"/>
    <x v="8"/>
    <n v="5"/>
    <n v="39"/>
  </r>
  <r>
    <x v="40"/>
    <x v="1"/>
    <x v="1"/>
    <n v="5"/>
    <n v="54"/>
  </r>
  <r>
    <x v="41"/>
    <x v="1"/>
    <x v="2"/>
    <n v="5"/>
    <n v="65"/>
  </r>
  <r>
    <x v="42"/>
    <x v="1"/>
    <x v="7"/>
    <n v="5"/>
    <n v="70"/>
  </r>
  <r>
    <x v="43"/>
    <x v="1"/>
    <x v="4"/>
    <n v="5"/>
    <n v="28"/>
  </r>
  <r>
    <x v="44"/>
    <x v="1"/>
    <x v="4"/>
    <n v="3"/>
    <n v="51"/>
  </r>
  <r>
    <x v="45"/>
    <x v="1"/>
    <x v="8"/>
    <n v="3"/>
    <n v="54"/>
  </r>
  <r>
    <x v="46"/>
    <x v="0"/>
    <x v="6"/>
    <n v="4"/>
    <n v="68"/>
  </r>
  <r>
    <x v="47"/>
    <x v="1"/>
    <x v="2"/>
    <n v="5"/>
    <n v="18"/>
  </r>
  <r>
    <x v="48"/>
    <x v="1"/>
    <x v="3"/>
    <n v="4"/>
    <n v="35"/>
  </r>
  <r>
    <x v="49"/>
    <x v="1"/>
    <x v="0"/>
    <n v="5"/>
    <n v="30"/>
  </r>
  <r>
    <x v="50"/>
    <x v="0"/>
    <x v="6"/>
    <n v="4"/>
    <n v="15"/>
  </r>
  <r>
    <x v="51"/>
    <x v="0"/>
    <x v="6"/>
    <n v="4"/>
    <n v="52"/>
  </r>
  <r>
    <x v="52"/>
    <x v="1"/>
    <x v="9"/>
    <n v="4"/>
    <n v="31"/>
  </r>
  <r>
    <x v="53"/>
    <x v="1"/>
    <x v="5"/>
    <n v="2"/>
    <n v="41"/>
  </r>
  <r>
    <x v="54"/>
    <x v="0"/>
    <x v="8"/>
    <n v="4"/>
    <n v="33"/>
  </r>
  <r>
    <x v="55"/>
    <x v="0"/>
    <x v="4"/>
    <n v="5"/>
    <n v="50"/>
  </r>
  <r>
    <x v="56"/>
    <x v="0"/>
    <x v="9"/>
    <n v="2"/>
    <n v="40"/>
  </r>
  <r>
    <x v="57"/>
    <x v="1"/>
    <x v="2"/>
    <n v="1"/>
    <n v="20"/>
  </r>
  <r>
    <x v="58"/>
    <x v="0"/>
    <x v="2"/>
    <n v="5"/>
    <n v="44"/>
  </r>
  <r>
    <x v="59"/>
    <x v="1"/>
    <x v="7"/>
    <n v="2"/>
    <n v="25"/>
  </r>
  <r>
    <x v="60"/>
    <x v="1"/>
    <x v="2"/>
    <n v="2"/>
    <n v="41"/>
  </r>
  <r>
    <x v="61"/>
    <x v="1"/>
    <x v="7"/>
    <n v="2"/>
    <n v="21"/>
  </r>
  <r>
    <x v="62"/>
    <x v="0"/>
    <x v="7"/>
    <n v="2"/>
    <n v="28"/>
  </r>
  <r>
    <x v="63"/>
    <x v="1"/>
    <x v="5"/>
    <n v="1"/>
    <n v="41"/>
  </r>
  <r>
    <x v="64"/>
    <x v="1"/>
    <x v="6"/>
    <n v="3"/>
    <n v="67"/>
  </r>
  <r>
    <x v="65"/>
    <x v="1"/>
    <x v="1"/>
    <n v="5"/>
    <n v="41"/>
  </r>
  <r>
    <x v="66"/>
    <x v="0"/>
    <x v="4"/>
    <n v="2"/>
    <n v="58"/>
  </r>
  <r>
    <x v="67"/>
    <x v="0"/>
    <x v="1"/>
    <n v="1"/>
    <n v="48"/>
  </r>
  <r>
    <x v="68"/>
    <x v="0"/>
    <x v="7"/>
    <n v="2"/>
    <n v="44"/>
  </r>
  <r>
    <x v="69"/>
    <x v="0"/>
    <x v="3"/>
    <n v="3"/>
    <n v="41"/>
  </r>
  <r>
    <x v="70"/>
    <x v="0"/>
    <x v="4"/>
    <n v="1"/>
    <n v="27"/>
  </r>
  <r>
    <x v="71"/>
    <x v="1"/>
    <x v="0"/>
    <n v="3"/>
    <n v="26"/>
  </r>
  <r>
    <x v="72"/>
    <x v="1"/>
    <x v="8"/>
    <n v="4"/>
    <n v="33"/>
  </r>
  <r>
    <x v="73"/>
    <x v="0"/>
    <x v="9"/>
    <n v="1"/>
    <n v="18"/>
  </r>
  <r>
    <x v="74"/>
    <x v="1"/>
    <x v="2"/>
    <n v="3"/>
    <n v="46"/>
  </r>
  <r>
    <x v="75"/>
    <x v="0"/>
    <x v="8"/>
    <n v="4"/>
    <n v="46"/>
  </r>
  <r>
    <x v="76"/>
    <x v="1"/>
    <x v="8"/>
    <n v="4"/>
    <n v="34"/>
  </r>
  <r>
    <x v="77"/>
    <x v="1"/>
    <x v="0"/>
    <n v="1"/>
    <n v="17"/>
  </r>
  <r>
    <x v="78"/>
    <x v="1"/>
    <x v="9"/>
    <n v="4"/>
    <n v="60"/>
  </r>
  <r>
    <x v="79"/>
    <x v="1"/>
    <x v="4"/>
    <n v="1"/>
    <n v="66"/>
  </r>
  <r>
    <x v="80"/>
    <x v="1"/>
    <x v="7"/>
    <n v="2"/>
    <n v="41"/>
  </r>
  <r>
    <x v="81"/>
    <x v="0"/>
    <x v="9"/>
    <n v="1"/>
    <n v="43"/>
  </r>
  <r>
    <x v="82"/>
    <x v="1"/>
    <x v="4"/>
    <n v="4"/>
    <n v="67"/>
  </r>
  <r>
    <x v="83"/>
    <x v="0"/>
    <x v="2"/>
    <n v="3"/>
    <n v="34"/>
  </r>
  <r>
    <x v="84"/>
    <x v="1"/>
    <x v="8"/>
    <n v="4"/>
    <n v="65"/>
  </r>
  <r>
    <x v="85"/>
    <x v="1"/>
    <x v="6"/>
    <n v="3"/>
    <n v="65"/>
  </r>
  <r>
    <x v="86"/>
    <x v="0"/>
    <x v="0"/>
    <n v="2"/>
    <n v="30"/>
  </r>
  <r>
    <x v="87"/>
    <x v="1"/>
    <x v="4"/>
    <n v="3"/>
    <n v="36"/>
  </r>
  <r>
    <x v="88"/>
    <x v="1"/>
    <x v="7"/>
    <n v="1"/>
    <n v="51"/>
  </r>
  <r>
    <x v="89"/>
    <x v="1"/>
    <x v="7"/>
    <n v="5"/>
    <n v="59"/>
  </r>
  <r>
    <x v="90"/>
    <x v="1"/>
    <x v="5"/>
    <n v="3"/>
    <n v="58"/>
  </r>
  <r>
    <x v="91"/>
    <x v="0"/>
    <x v="3"/>
    <n v="1"/>
    <n v="45"/>
  </r>
  <r>
    <x v="92"/>
    <x v="0"/>
    <x v="2"/>
    <n v="2"/>
    <n v="33"/>
  </r>
  <r>
    <x v="93"/>
    <x v="0"/>
    <x v="3"/>
    <n v="4"/>
    <n v="46"/>
  </r>
  <r>
    <x v="94"/>
    <x v="0"/>
    <x v="0"/>
    <n v="4"/>
    <n v="42"/>
  </r>
  <r>
    <x v="95"/>
    <x v="1"/>
    <x v="1"/>
    <n v="5"/>
    <n v="30"/>
  </r>
  <r>
    <x v="96"/>
    <x v="1"/>
    <x v="5"/>
    <n v="1"/>
    <n v="38"/>
  </r>
  <r>
    <x v="97"/>
    <x v="1"/>
    <x v="6"/>
    <n v="4"/>
    <n v="58"/>
  </r>
  <r>
    <x v="98"/>
    <x v="1"/>
    <x v="3"/>
    <n v="3"/>
    <n v="22"/>
  </r>
  <r>
    <x v="99"/>
    <x v="0"/>
    <x v="3"/>
    <n v="5"/>
    <n v="56"/>
  </r>
  <r>
    <x v="100"/>
    <x v="1"/>
    <x v="9"/>
    <n v="1"/>
    <n v="16"/>
  </r>
  <r>
    <x v="101"/>
    <x v="0"/>
    <x v="0"/>
    <n v="3"/>
    <n v="56"/>
  </r>
  <r>
    <x v="102"/>
    <x v="1"/>
    <x v="2"/>
    <n v="3"/>
    <n v="43"/>
  </r>
  <r>
    <x v="103"/>
    <x v="1"/>
    <x v="0"/>
    <n v="2"/>
    <n v="50"/>
  </r>
  <r>
    <x v="104"/>
    <x v="1"/>
    <x v="0"/>
    <n v="4"/>
    <n v="45"/>
  </r>
  <r>
    <x v="105"/>
    <x v="1"/>
    <x v="8"/>
    <n v="4"/>
    <n v="17"/>
  </r>
  <r>
    <x v="106"/>
    <x v="0"/>
    <x v="9"/>
    <n v="4"/>
    <n v="65"/>
  </r>
  <r>
    <x v="107"/>
    <x v="1"/>
    <x v="2"/>
    <n v="3"/>
    <n v="68"/>
  </r>
  <r>
    <x v="108"/>
    <x v="1"/>
    <x v="6"/>
    <n v="4"/>
    <n v="67"/>
  </r>
  <r>
    <x v="109"/>
    <x v="0"/>
    <x v="8"/>
    <n v="1"/>
    <n v="19"/>
  </r>
  <r>
    <x v="110"/>
    <x v="1"/>
    <x v="0"/>
    <n v="2"/>
    <n v="56"/>
  </r>
  <r>
    <x v="111"/>
    <x v="1"/>
    <x v="7"/>
    <n v="1"/>
    <n v="32"/>
  </r>
  <r>
    <x v="112"/>
    <x v="0"/>
    <x v="3"/>
    <n v="4"/>
    <n v="70"/>
  </r>
  <r>
    <x v="113"/>
    <x v="0"/>
    <x v="1"/>
    <n v="3"/>
    <n v="39"/>
  </r>
  <r>
    <x v="114"/>
    <x v="1"/>
    <x v="8"/>
    <n v="3"/>
    <n v="52"/>
  </r>
  <r>
    <x v="115"/>
    <x v="1"/>
    <x v="6"/>
    <n v="5"/>
    <n v="59"/>
  </r>
  <r>
    <x v="116"/>
    <x v="1"/>
    <x v="2"/>
    <n v="2"/>
    <n v="31"/>
  </r>
  <r>
    <x v="117"/>
    <x v="0"/>
    <x v="0"/>
    <n v="5"/>
    <n v="35"/>
  </r>
  <r>
    <x v="118"/>
    <x v="1"/>
    <x v="7"/>
    <n v="2"/>
    <n v="26"/>
  </r>
  <r>
    <x v="119"/>
    <x v="1"/>
    <x v="0"/>
    <n v="1"/>
    <n v="35"/>
  </r>
  <r>
    <x v="120"/>
    <x v="0"/>
    <x v="2"/>
    <n v="4"/>
    <n v="36"/>
  </r>
  <r>
    <x v="121"/>
    <x v="1"/>
    <x v="0"/>
    <n v="3"/>
    <n v="46"/>
  </r>
  <r>
    <x v="122"/>
    <x v="1"/>
    <x v="6"/>
    <n v="3"/>
    <n v="45"/>
  </r>
  <r>
    <x v="123"/>
    <x v="1"/>
    <x v="7"/>
    <n v="5"/>
    <n v="34"/>
  </r>
  <r>
    <x v="124"/>
    <x v="1"/>
    <x v="7"/>
    <n v="3"/>
    <n v="42"/>
  </r>
  <r>
    <x v="125"/>
    <x v="1"/>
    <x v="1"/>
    <n v="1"/>
    <n v="20"/>
  </r>
  <r>
    <x v="126"/>
    <x v="0"/>
    <x v="7"/>
    <n v="5"/>
    <n v="49"/>
  </r>
  <r>
    <x v="127"/>
    <x v="0"/>
    <x v="7"/>
    <n v="5"/>
    <n v="60"/>
  </r>
  <r>
    <x v="128"/>
    <x v="1"/>
    <x v="1"/>
    <n v="1"/>
    <n v="52"/>
  </r>
  <r>
    <x v="129"/>
    <x v="0"/>
    <x v="7"/>
    <n v="4"/>
    <n v="36"/>
  </r>
  <r>
    <x v="130"/>
    <x v="0"/>
    <x v="5"/>
    <n v="1"/>
    <n v="47"/>
  </r>
  <r>
    <x v="131"/>
    <x v="1"/>
    <x v="8"/>
    <n v="1"/>
    <n v="54"/>
  </r>
  <r>
    <x v="132"/>
    <x v="0"/>
    <x v="4"/>
    <n v="4"/>
    <n v="47"/>
  </r>
  <r>
    <x v="133"/>
    <x v="1"/>
    <x v="4"/>
    <n v="4"/>
    <n v="34"/>
  </r>
  <r>
    <x v="134"/>
    <x v="1"/>
    <x v="0"/>
    <n v="5"/>
    <n v="17"/>
  </r>
  <r>
    <x v="135"/>
    <x v="0"/>
    <x v="0"/>
    <n v="5"/>
    <n v="45"/>
  </r>
  <r>
    <x v="136"/>
    <x v="0"/>
    <x v="1"/>
    <n v="2"/>
    <n v="58"/>
  </r>
  <r>
    <x v="137"/>
    <x v="1"/>
    <x v="8"/>
    <n v="5"/>
    <n v="50"/>
  </r>
  <r>
    <x v="138"/>
    <x v="1"/>
    <x v="7"/>
    <n v="3"/>
    <n v="46"/>
  </r>
  <r>
    <x v="139"/>
    <x v="0"/>
    <x v="8"/>
    <n v="5"/>
    <n v="15"/>
  </r>
  <r>
    <x v="140"/>
    <x v="0"/>
    <x v="5"/>
    <n v="2"/>
    <n v="63"/>
  </r>
  <r>
    <x v="141"/>
    <x v="1"/>
    <x v="9"/>
    <n v="1"/>
    <n v="59"/>
  </r>
  <r>
    <x v="142"/>
    <x v="1"/>
    <x v="8"/>
    <n v="4"/>
    <n v="21"/>
  </r>
  <r>
    <x v="143"/>
    <x v="0"/>
    <x v="7"/>
    <n v="5"/>
    <n v="65"/>
  </r>
  <r>
    <x v="144"/>
    <x v="0"/>
    <x v="3"/>
    <n v="3"/>
    <n v="24"/>
  </r>
  <r>
    <x v="145"/>
    <x v="1"/>
    <x v="0"/>
    <n v="2"/>
    <n v="15"/>
  </r>
  <r>
    <x v="146"/>
    <x v="1"/>
    <x v="4"/>
    <n v="5"/>
    <n v="23"/>
  </r>
  <r>
    <x v="147"/>
    <x v="0"/>
    <x v="4"/>
    <n v="2"/>
    <n v="33"/>
  </r>
  <r>
    <x v="148"/>
    <x v="1"/>
    <x v="5"/>
    <n v="5"/>
    <n v="61"/>
  </r>
  <r>
    <x v="149"/>
    <x v="0"/>
    <x v="9"/>
    <n v="4"/>
    <n v="27"/>
  </r>
  <r>
    <x v="150"/>
    <x v="1"/>
    <x v="5"/>
    <n v="4"/>
    <n v="17"/>
  </r>
  <r>
    <x v="151"/>
    <x v="0"/>
    <x v="3"/>
    <n v="2"/>
    <n v="53"/>
  </r>
  <r>
    <x v="152"/>
    <x v="1"/>
    <x v="4"/>
    <n v="3"/>
    <n v="44"/>
  </r>
  <r>
    <x v="153"/>
    <x v="1"/>
    <x v="5"/>
    <n v="5"/>
    <n v="57"/>
  </r>
  <r>
    <x v="154"/>
    <x v="0"/>
    <x v="3"/>
    <n v="5"/>
    <n v="57"/>
  </r>
  <r>
    <x v="155"/>
    <x v="0"/>
    <x v="0"/>
    <n v="2"/>
    <n v="33"/>
  </r>
  <r>
    <x v="156"/>
    <x v="0"/>
    <x v="9"/>
    <n v="4"/>
    <n v="16"/>
  </r>
  <r>
    <x v="157"/>
    <x v="0"/>
    <x v="9"/>
    <n v="2"/>
    <n v="30"/>
  </r>
  <r>
    <x v="158"/>
    <x v="0"/>
    <x v="7"/>
    <n v="2"/>
    <n v="45"/>
  </r>
  <r>
    <x v="159"/>
    <x v="1"/>
    <x v="8"/>
    <n v="4"/>
    <n v="62"/>
  </r>
  <r>
    <x v="160"/>
    <x v="1"/>
    <x v="3"/>
    <n v="2"/>
    <n v="38"/>
  </r>
  <r>
    <x v="161"/>
    <x v="0"/>
    <x v="8"/>
    <n v="1"/>
    <n v="21"/>
  </r>
  <r>
    <x v="162"/>
    <x v="0"/>
    <x v="9"/>
    <n v="2"/>
    <n v="39"/>
  </r>
  <r>
    <x v="163"/>
    <x v="0"/>
    <x v="4"/>
    <n v="2"/>
    <n v="37"/>
  </r>
  <r>
    <x v="164"/>
    <x v="0"/>
    <x v="5"/>
    <n v="4"/>
    <n v="58"/>
  </r>
  <r>
    <x v="165"/>
    <x v="1"/>
    <x v="7"/>
    <n v="2"/>
    <n v="58"/>
  </r>
  <r>
    <x v="166"/>
    <x v="0"/>
    <x v="5"/>
    <n v="4"/>
    <n v="48"/>
  </r>
  <r>
    <x v="167"/>
    <x v="1"/>
    <x v="0"/>
    <n v="4"/>
    <n v="69"/>
  </r>
  <r>
    <x v="168"/>
    <x v="0"/>
    <x v="3"/>
    <n v="2"/>
    <n v="70"/>
  </r>
  <r>
    <x v="169"/>
    <x v="0"/>
    <x v="0"/>
    <n v="4"/>
    <n v="48"/>
  </r>
  <r>
    <x v="170"/>
    <x v="0"/>
    <x v="7"/>
    <n v="3"/>
    <n v="22"/>
  </r>
  <r>
    <x v="171"/>
    <x v="0"/>
    <x v="9"/>
    <n v="4"/>
    <n v="30"/>
  </r>
  <r>
    <x v="172"/>
    <x v="0"/>
    <x v="4"/>
    <n v="2"/>
    <n v="19"/>
  </r>
  <r>
    <x v="173"/>
    <x v="0"/>
    <x v="1"/>
    <n v="3"/>
    <n v="40"/>
  </r>
  <r>
    <x v="174"/>
    <x v="1"/>
    <x v="2"/>
    <n v="1"/>
    <n v="18"/>
  </r>
  <r>
    <x v="175"/>
    <x v="0"/>
    <x v="9"/>
    <n v="5"/>
    <n v="23"/>
  </r>
  <r>
    <x v="176"/>
    <x v="1"/>
    <x v="2"/>
    <n v="3"/>
    <n v="61"/>
  </r>
  <r>
    <x v="177"/>
    <x v="1"/>
    <x v="6"/>
    <n v="5"/>
    <n v="29"/>
  </r>
  <r>
    <x v="178"/>
    <x v="1"/>
    <x v="6"/>
    <n v="3"/>
    <n v="42"/>
  </r>
  <r>
    <x v="179"/>
    <x v="1"/>
    <x v="9"/>
    <n v="3"/>
    <n v="16"/>
  </r>
  <r>
    <x v="180"/>
    <x v="0"/>
    <x v="8"/>
    <n v="3"/>
    <n v="53"/>
  </r>
  <r>
    <x v="181"/>
    <x v="1"/>
    <x v="8"/>
    <n v="5"/>
    <n v="60"/>
  </r>
  <r>
    <x v="182"/>
    <x v="0"/>
    <x v="8"/>
    <n v="4"/>
    <n v="49"/>
  </r>
  <r>
    <x v="183"/>
    <x v="1"/>
    <x v="6"/>
    <n v="3"/>
    <n v="17"/>
  </r>
  <r>
    <x v="184"/>
    <x v="1"/>
    <x v="6"/>
    <n v="2"/>
    <n v="39"/>
  </r>
  <r>
    <x v="185"/>
    <x v="0"/>
    <x v="6"/>
    <n v="4"/>
    <n v="22"/>
  </r>
  <r>
    <x v="186"/>
    <x v="1"/>
    <x v="3"/>
    <n v="1"/>
    <n v="54"/>
  </r>
  <r>
    <x v="187"/>
    <x v="0"/>
    <x v="0"/>
    <n v="1"/>
    <n v="33"/>
  </r>
  <r>
    <x v="188"/>
    <x v="0"/>
    <x v="5"/>
    <n v="1"/>
    <n v="47"/>
  </r>
  <r>
    <x v="189"/>
    <x v="1"/>
    <x v="4"/>
    <n v="3"/>
    <n v="15"/>
  </r>
  <r>
    <x v="190"/>
    <x v="1"/>
    <x v="6"/>
    <n v="2"/>
    <n v="32"/>
  </r>
  <r>
    <x v="191"/>
    <x v="0"/>
    <x v="6"/>
    <n v="3"/>
    <n v="69"/>
  </r>
  <r>
    <x v="192"/>
    <x v="0"/>
    <x v="6"/>
    <n v="2"/>
    <n v="32"/>
  </r>
  <r>
    <x v="193"/>
    <x v="0"/>
    <x v="2"/>
    <n v="3"/>
    <n v="27"/>
  </r>
  <r>
    <x v="194"/>
    <x v="0"/>
    <x v="3"/>
    <n v="2"/>
    <n v="64"/>
  </r>
  <r>
    <x v="195"/>
    <x v="1"/>
    <x v="2"/>
    <n v="4"/>
    <n v="64"/>
  </r>
  <r>
    <x v="196"/>
    <x v="0"/>
    <x v="0"/>
    <n v="3"/>
    <n v="17"/>
  </r>
  <r>
    <x v="197"/>
    <x v="1"/>
    <x v="1"/>
    <n v="5"/>
    <n v="26"/>
  </r>
  <r>
    <x v="198"/>
    <x v="1"/>
    <x v="5"/>
    <n v="5"/>
    <n v="62"/>
  </r>
  <r>
    <x v="199"/>
    <x v="0"/>
    <x v="5"/>
    <n v="1"/>
    <n v="18"/>
  </r>
  <r>
    <x v="200"/>
    <x v="0"/>
    <x v="6"/>
    <n v="5"/>
    <n v="30"/>
  </r>
  <r>
    <x v="201"/>
    <x v="0"/>
    <x v="4"/>
    <n v="2"/>
    <n v="61"/>
  </r>
  <r>
    <x v="202"/>
    <x v="1"/>
    <x v="6"/>
    <n v="4"/>
    <n v="59"/>
  </r>
  <r>
    <x v="203"/>
    <x v="1"/>
    <x v="1"/>
    <n v="1"/>
    <n v="64"/>
  </r>
  <r>
    <x v="204"/>
    <x v="0"/>
    <x v="1"/>
    <n v="5"/>
    <n v="60"/>
  </r>
  <r>
    <x v="205"/>
    <x v="1"/>
    <x v="9"/>
    <n v="4"/>
    <n v="61"/>
  </r>
  <r>
    <x v="206"/>
    <x v="0"/>
    <x v="4"/>
    <n v="4"/>
    <n v="39"/>
  </r>
  <r>
    <x v="207"/>
    <x v="0"/>
    <x v="8"/>
    <n v="2"/>
    <n v="31"/>
  </r>
  <r>
    <x v="208"/>
    <x v="0"/>
    <x v="8"/>
    <n v="2"/>
    <n v="66"/>
  </r>
  <r>
    <x v="209"/>
    <x v="1"/>
    <x v="1"/>
    <n v="2"/>
    <n v="69"/>
  </r>
  <r>
    <x v="210"/>
    <x v="1"/>
    <x v="8"/>
    <n v="4"/>
    <n v="62"/>
  </r>
  <r>
    <x v="211"/>
    <x v="0"/>
    <x v="2"/>
    <n v="1"/>
    <n v="26"/>
  </r>
  <r>
    <x v="212"/>
    <x v="1"/>
    <x v="6"/>
    <n v="4"/>
    <n v="70"/>
  </r>
  <r>
    <x v="213"/>
    <x v="1"/>
    <x v="2"/>
    <n v="1"/>
    <n v="34"/>
  </r>
  <r>
    <x v="214"/>
    <x v="1"/>
    <x v="1"/>
    <n v="4"/>
    <n v="48"/>
  </r>
  <r>
    <x v="215"/>
    <x v="0"/>
    <x v="9"/>
    <n v="1"/>
    <n v="59"/>
  </r>
  <r>
    <x v="216"/>
    <x v="1"/>
    <x v="9"/>
    <n v="1"/>
    <n v="32"/>
  </r>
  <r>
    <x v="217"/>
    <x v="0"/>
    <x v="2"/>
    <n v="3"/>
    <n v="25"/>
  </r>
  <r>
    <x v="218"/>
    <x v="1"/>
    <x v="8"/>
    <n v="1"/>
    <n v="50"/>
  </r>
  <r>
    <x v="219"/>
    <x v="1"/>
    <x v="0"/>
    <n v="3"/>
    <n v="43"/>
  </r>
  <r>
    <x v="220"/>
    <x v="0"/>
    <x v="4"/>
    <n v="3"/>
    <n v="56"/>
  </r>
  <r>
    <x v="221"/>
    <x v="0"/>
    <x v="2"/>
    <n v="3"/>
    <n v="59"/>
  </r>
  <r>
    <x v="222"/>
    <x v="1"/>
    <x v="6"/>
    <n v="1"/>
    <n v="36"/>
  </r>
  <r>
    <x v="223"/>
    <x v="1"/>
    <x v="2"/>
    <n v="1"/>
    <n v="46"/>
  </r>
  <r>
    <x v="224"/>
    <x v="1"/>
    <x v="7"/>
    <n v="2"/>
    <n v="19"/>
  </r>
  <r>
    <x v="225"/>
    <x v="1"/>
    <x v="8"/>
    <n v="1"/>
    <n v="30"/>
  </r>
  <r>
    <x v="226"/>
    <x v="1"/>
    <x v="5"/>
    <n v="2"/>
    <n v="57"/>
  </r>
  <r>
    <x v="227"/>
    <x v="0"/>
    <x v="4"/>
    <n v="1"/>
    <n v="15"/>
  </r>
  <r>
    <x v="228"/>
    <x v="0"/>
    <x v="0"/>
    <n v="2"/>
    <n v="33"/>
  </r>
  <r>
    <x v="229"/>
    <x v="0"/>
    <x v="2"/>
    <n v="3"/>
    <n v="25"/>
  </r>
  <r>
    <x v="230"/>
    <x v="0"/>
    <x v="1"/>
    <n v="1"/>
    <n v="59"/>
  </r>
  <r>
    <x v="231"/>
    <x v="1"/>
    <x v="3"/>
    <n v="3"/>
    <n v="54"/>
  </r>
  <r>
    <x v="232"/>
    <x v="1"/>
    <x v="7"/>
    <n v="2"/>
    <n v="63"/>
  </r>
  <r>
    <x v="233"/>
    <x v="0"/>
    <x v="1"/>
    <n v="5"/>
    <n v="66"/>
  </r>
  <r>
    <x v="234"/>
    <x v="0"/>
    <x v="5"/>
    <n v="5"/>
    <n v="25"/>
  </r>
  <r>
    <x v="235"/>
    <x v="1"/>
    <x v="9"/>
    <n v="4"/>
    <n v="25"/>
  </r>
  <r>
    <x v="236"/>
    <x v="0"/>
    <x v="3"/>
    <n v="2"/>
    <n v="39"/>
  </r>
  <r>
    <x v="237"/>
    <x v="1"/>
    <x v="3"/>
    <n v="1"/>
    <n v="36"/>
  </r>
  <r>
    <x v="238"/>
    <x v="0"/>
    <x v="2"/>
    <n v="4"/>
    <n v="50"/>
  </r>
  <r>
    <x v="239"/>
    <x v="1"/>
    <x v="4"/>
    <n v="4"/>
    <n v="54"/>
  </r>
  <r>
    <x v="240"/>
    <x v="0"/>
    <x v="8"/>
    <n v="3"/>
    <n v="25"/>
  </r>
  <r>
    <x v="241"/>
    <x v="1"/>
    <x v="4"/>
    <n v="2"/>
    <n v="59"/>
  </r>
  <r>
    <x v="242"/>
    <x v="0"/>
    <x v="4"/>
    <n v="3"/>
    <n v="47"/>
  </r>
  <r>
    <x v="243"/>
    <x v="0"/>
    <x v="0"/>
    <n v="3"/>
    <n v="42"/>
  </r>
  <r>
    <x v="244"/>
    <x v="0"/>
    <x v="5"/>
    <n v="5"/>
    <n v="63"/>
  </r>
  <r>
    <x v="245"/>
    <x v="1"/>
    <x v="8"/>
    <n v="2"/>
    <n v="62"/>
  </r>
  <r>
    <x v="246"/>
    <x v="0"/>
    <x v="5"/>
    <n v="2"/>
    <n v="29"/>
  </r>
  <r>
    <x v="247"/>
    <x v="0"/>
    <x v="8"/>
    <n v="2"/>
    <n v="43"/>
  </r>
  <r>
    <x v="248"/>
    <x v="0"/>
    <x v="0"/>
    <n v="5"/>
    <n v="59"/>
  </r>
  <r>
    <x v="249"/>
    <x v="0"/>
    <x v="7"/>
    <n v="2"/>
    <n v="37"/>
  </r>
  <r>
    <x v="250"/>
    <x v="0"/>
    <x v="8"/>
    <n v="2"/>
    <n v="70"/>
  </r>
  <r>
    <x v="251"/>
    <x v="1"/>
    <x v="3"/>
    <n v="3"/>
    <n v="15"/>
  </r>
  <r>
    <x v="252"/>
    <x v="1"/>
    <x v="7"/>
    <n v="3"/>
    <n v="21"/>
  </r>
  <r>
    <x v="253"/>
    <x v="0"/>
    <x v="2"/>
    <n v="2"/>
    <n v="43"/>
  </r>
  <r>
    <x v="254"/>
    <x v="1"/>
    <x v="6"/>
    <n v="2"/>
    <n v="40"/>
  </r>
  <r>
    <x v="255"/>
    <x v="0"/>
    <x v="6"/>
    <n v="2"/>
    <n v="30"/>
  </r>
  <r>
    <x v="256"/>
    <x v="1"/>
    <x v="9"/>
    <n v="3"/>
    <n v="58"/>
  </r>
  <r>
    <x v="257"/>
    <x v="0"/>
    <x v="4"/>
    <n v="4"/>
    <n v="54"/>
  </r>
  <r>
    <x v="258"/>
    <x v="0"/>
    <x v="9"/>
    <n v="3"/>
    <n v="61"/>
  </r>
  <r>
    <x v="259"/>
    <x v="0"/>
    <x v="0"/>
    <n v="2"/>
    <n v="37"/>
  </r>
  <r>
    <x v="260"/>
    <x v="0"/>
    <x v="2"/>
    <n v="3"/>
    <n v="33"/>
  </r>
  <r>
    <x v="261"/>
    <x v="0"/>
    <x v="5"/>
    <n v="1"/>
    <n v="50"/>
  </r>
  <r>
    <x v="262"/>
    <x v="0"/>
    <x v="8"/>
    <n v="4"/>
    <n v="57"/>
  </r>
  <r>
    <x v="263"/>
    <x v="0"/>
    <x v="4"/>
    <n v="2"/>
    <n v="20"/>
  </r>
  <r>
    <x v="264"/>
    <x v="0"/>
    <x v="6"/>
    <n v="1"/>
    <n v="60"/>
  </r>
  <r>
    <x v="265"/>
    <x v="1"/>
    <x v="1"/>
    <n v="1"/>
    <n v="60"/>
  </r>
  <r>
    <x v="266"/>
    <x v="1"/>
    <x v="4"/>
    <n v="1"/>
    <n v="54"/>
  </r>
  <r>
    <x v="267"/>
    <x v="0"/>
    <x v="4"/>
    <n v="3"/>
    <n v="42"/>
  </r>
  <r>
    <x v="268"/>
    <x v="1"/>
    <x v="9"/>
    <n v="1"/>
    <n v="45"/>
  </r>
  <r>
    <x v="269"/>
    <x v="1"/>
    <x v="2"/>
    <n v="4"/>
    <n v="40"/>
  </r>
  <r>
    <x v="270"/>
    <x v="0"/>
    <x v="2"/>
    <n v="2"/>
    <n v="64"/>
  </r>
  <r>
    <x v="271"/>
    <x v="0"/>
    <x v="0"/>
    <n v="4"/>
    <n v="45"/>
  </r>
  <r>
    <x v="272"/>
    <x v="1"/>
    <x v="6"/>
    <n v="3"/>
    <n v="41"/>
  </r>
  <r>
    <x v="273"/>
    <x v="0"/>
    <x v="5"/>
    <n v="5"/>
    <n v="45"/>
  </r>
  <r>
    <x v="274"/>
    <x v="1"/>
    <x v="8"/>
    <n v="5"/>
    <n v="45"/>
  </r>
  <r>
    <x v="275"/>
    <x v="0"/>
    <x v="4"/>
    <n v="3"/>
    <n v="17"/>
  </r>
  <r>
    <x v="276"/>
    <x v="1"/>
    <x v="0"/>
    <n v="2"/>
    <n v="41"/>
  </r>
  <r>
    <x v="277"/>
    <x v="0"/>
    <x v="8"/>
    <n v="2"/>
    <n v="17"/>
  </r>
  <r>
    <x v="278"/>
    <x v="1"/>
    <x v="1"/>
    <n v="2"/>
    <n v="60"/>
  </r>
  <r>
    <x v="279"/>
    <x v="0"/>
    <x v="2"/>
    <n v="4"/>
    <n v="53"/>
  </r>
  <r>
    <x v="280"/>
    <x v="0"/>
    <x v="2"/>
    <n v="4"/>
    <n v="21"/>
  </r>
  <r>
    <x v="281"/>
    <x v="0"/>
    <x v="7"/>
    <n v="4"/>
    <n v="44"/>
  </r>
  <r>
    <x v="282"/>
    <x v="1"/>
    <x v="5"/>
    <n v="1"/>
    <n v="56"/>
  </r>
  <r>
    <x v="283"/>
    <x v="0"/>
    <x v="0"/>
    <n v="2"/>
    <n v="55"/>
  </r>
  <r>
    <x v="284"/>
    <x v="1"/>
    <x v="4"/>
    <n v="5"/>
    <n v="38"/>
  </r>
  <r>
    <x v="285"/>
    <x v="0"/>
    <x v="2"/>
    <n v="2"/>
    <n v="68"/>
  </r>
  <r>
    <x v="286"/>
    <x v="0"/>
    <x v="6"/>
    <n v="2"/>
    <n v="62"/>
  </r>
  <r>
    <x v="287"/>
    <x v="0"/>
    <x v="0"/>
    <n v="2"/>
    <n v="70"/>
  </r>
  <r>
    <x v="288"/>
    <x v="0"/>
    <x v="9"/>
    <n v="4"/>
    <n v="56"/>
  </r>
  <r>
    <x v="289"/>
    <x v="0"/>
    <x v="3"/>
    <n v="3"/>
    <n v="26"/>
  </r>
  <r>
    <x v="290"/>
    <x v="0"/>
    <x v="2"/>
    <n v="2"/>
    <n v="51"/>
  </r>
  <r>
    <x v="291"/>
    <x v="1"/>
    <x v="0"/>
    <n v="2"/>
    <n v="46"/>
  </r>
  <r>
    <x v="292"/>
    <x v="1"/>
    <x v="8"/>
    <n v="2"/>
    <n v="23"/>
  </r>
  <r>
    <x v="293"/>
    <x v="1"/>
    <x v="7"/>
    <n v="5"/>
    <n v="57"/>
  </r>
  <r>
    <x v="294"/>
    <x v="0"/>
    <x v="7"/>
    <n v="3"/>
    <n v="41"/>
  </r>
  <r>
    <x v="295"/>
    <x v="1"/>
    <x v="1"/>
    <n v="4"/>
    <n v="26"/>
  </r>
  <r>
    <x v="296"/>
    <x v="0"/>
    <x v="4"/>
    <n v="3"/>
    <n v="65"/>
  </r>
  <r>
    <x v="297"/>
    <x v="1"/>
    <x v="0"/>
    <n v="4"/>
    <n v="23"/>
  </r>
  <r>
    <x v="298"/>
    <x v="1"/>
    <x v="0"/>
    <n v="3"/>
    <n v="32"/>
  </r>
  <r>
    <x v="299"/>
    <x v="0"/>
    <x v="4"/>
    <n v="3"/>
    <n v="38"/>
  </r>
  <r>
    <x v="300"/>
    <x v="0"/>
    <x v="5"/>
    <n v="5"/>
    <n v="42"/>
  </r>
  <r>
    <x v="301"/>
    <x v="1"/>
    <x v="7"/>
    <n v="4"/>
    <n v="64"/>
  </r>
  <r>
    <x v="302"/>
    <x v="1"/>
    <x v="5"/>
    <n v="4"/>
    <n v="55"/>
  </r>
  <r>
    <x v="303"/>
    <x v="0"/>
    <x v="2"/>
    <n v="2"/>
    <n v="66"/>
  </r>
  <r>
    <x v="304"/>
    <x v="1"/>
    <x v="5"/>
    <n v="4"/>
    <n v="40"/>
  </r>
  <r>
    <x v="305"/>
    <x v="1"/>
    <x v="7"/>
    <n v="4"/>
    <n v="48"/>
  </r>
  <r>
    <x v="306"/>
    <x v="0"/>
    <x v="8"/>
    <n v="4"/>
    <n v="21"/>
  </r>
  <r>
    <x v="307"/>
    <x v="1"/>
    <x v="0"/>
    <n v="2"/>
    <n v="36"/>
  </r>
  <r>
    <x v="308"/>
    <x v="1"/>
    <x v="5"/>
    <n v="2"/>
    <n v="30"/>
  </r>
  <r>
    <x v="309"/>
    <x v="1"/>
    <x v="9"/>
    <n v="3"/>
    <n v="26"/>
  </r>
  <r>
    <x v="310"/>
    <x v="0"/>
    <x v="3"/>
    <n v="1"/>
    <n v="21"/>
  </r>
  <r>
    <x v="311"/>
    <x v="1"/>
    <x v="9"/>
    <n v="5"/>
    <n v="57"/>
  </r>
  <r>
    <x v="312"/>
    <x v="1"/>
    <x v="7"/>
    <n v="5"/>
    <n v="26"/>
  </r>
  <r>
    <x v="313"/>
    <x v="0"/>
    <x v="8"/>
    <n v="2"/>
    <n v="26"/>
  </r>
  <r>
    <x v="314"/>
    <x v="1"/>
    <x v="8"/>
    <n v="1"/>
    <n v="66"/>
  </r>
  <r>
    <x v="315"/>
    <x v="1"/>
    <x v="8"/>
    <n v="1"/>
    <n v="70"/>
  </r>
  <r>
    <x v="316"/>
    <x v="0"/>
    <x v="4"/>
    <n v="5"/>
    <n v="24"/>
  </r>
  <r>
    <x v="317"/>
    <x v="1"/>
    <x v="7"/>
    <n v="4"/>
    <n v="66"/>
  </r>
  <r>
    <x v="318"/>
    <x v="0"/>
    <x v="1"/>
    <n v="3"/>
    <n v="54"/>
  </r>
  <r>
    <x v="319"/>
    <x v="1"/>
    <x v="8"/>
    <n v="2"/>
    <n v="51"/>
  </r>
  <r>
    <x v="320"/>
    <x v="1"/>
    <x v="5"/>
    <n v="3"/>
    <n v="26"/>
  </r>
  <r>
    <x v="321"/>
    <x v="1"/>
    <x v="5"/>
    <n v="1"/>
    <n v="31"/>
  </r>
  <r>
    <x v="322"/>
    <x v="1"/>
    <x v="1"/>
    <n v="1"/>
    <n v="53"/>
  </r>
  <r>
    <x v="323"/>
    <x v="0"/>
    <x v="6"/>
    <n v="4"/>
    <n v="43"/>
  </r>
  <r>
    <x v="324"/>
    <x v="0"/>
    <x v="9"/>
    <n v="1"/>
    <n v="34"/>
  </r>
  <r>
    <x v="325"/>
    <x v="1"/>
    <x v="2"/>
    <n v="1"/>
    <n v="46"/>
  </r>
  <r>
    <x v="326"/>
    <x v="0"/>
    <x v="1"/>
    <n v="4"/>
    <n v="17"/>
  </r>
  <r>
    <x v="327"/>
    <x v="0"/>
    <x v="6"/>
    <n v="3"/>
    <n v="50"/>
  </r>
  <r>
    <x v="328"/>
    <x v="1"/>
    <x v="0"/>
    <n v="1"/>
    <n v="40"/>
  </r>
  <r>
    <x v="329"/>
    <x v="1"/>
    <x v="0"/>
    <n v="2"/>
    <n v="62"/>
  </r>
  <r>
    <x v="330"/>
    <x v="1"/>
    <x v="0"/>
    <n v="1"/>
    <n v="26"/>
  </r>
  <r>
    <x v="331"/>
    <x v="0"/>
    <x v="7"/>
    <n v="1"/>
    <n v="15"/>
  </r>
  <r>
    <x v="332"/>
    <x v="1"/>
    <x v="4"/>
    <n v="1"/>
    <n v="16"/>
  </r>
  <r>
    <x v="333"/>
    <x v="0"/>
    <x v="3"/>
    <n v="1"/>
    <n v="48"/>
  </r>
  <r>
    <x v="334"/>
    <x v="0"/>
    <x v="6"/>
    <n v="5"/>
    <n v="57"/>
  </r>
  <r>
    <x v="335"/>
    <x v="0"/>
    <x v="5"/>
    <n v="2"/>
    <n v="40"/>
  </r>
  <r>
    <x v="336"/>
    <x v="0"/>
    <x v="9"/>
    <n v="1"/>
    <n v="20"/>
  </r>
  <r>
    <x v="337"/>
    <x v="0"/>
    <x v="5"/>
    <n v="3"/>
    <n v="28"/>
  </r>
  <r>
    <x v="338"/>
    <x v="0"/>
    <x v="9"/>
    <n v="4"/>
    <n v="56"/>
  </r>
  <r>
    <x v="339"/>
    <x v="0"/>
    <x v="6"/>
    <n v="3"/>
    <n v="60"/>
  </r>
  <r>
    <x v="340"/>
    <x v="0"/>
    <x v="9"/>
    <n v="5"/>
    <n v="25"/>
  </r>
  <r>
    <x v="341"/>
    <x v="1"/>
    <x v="4"/>
    <n v="4"/>
    <n v="35"/>
  </r>
  <r>
    <x v="342"/>
    <x v="0"/>
    <x v="0"/>
    <n v="2"/>
    <n v="67"/>
  </r>
  <r>
    <x v="343"/>
    <x v="0"/>
    <x v="9"/>
    <n v="4"/>
    <n v="16"/>
  </r>
  <r>
    <x v="344"/>
    <x v="1"/>
    <x v="4"/>
    <n v="4"/>
    <n v="22"/>
  </r>
  <r>
    <x v="345"/>
    <x v="0"/>
    <x v="8"/>
    <n v="3"/>
    <n v="59"/>
  </r>
  <r>
    <x v="346"/>
    <x v="1"/>
    <x v="2"/>
    <n v="5"/>
    <n v="22"/>
  </r>
  <r>
    <x v="347"/>
    <x v="1"/>
    <x v="1"/>
    <n v="5"/>
    <n v="50"/>
  </r>
  <r>
    <x v="348"/>
    <x v="0"/>
    <x v="8"/>
    <n v="2"/>
    <n v="46"/>
  </r>
  <r>
    <x v="349"/>
    <x v="0"/>
    <x v="1"/>
    <n v="2"/>
    <n v="56"/>
  </r>
  <r>
    <x v="350"/>
    <x v="0"/>
    <x v="0"/>
    <n v="1"/>
    <n v="17"/>
  </r>
  <r>
    <x v="351"/>
    <x v="1"/>
    <x v="9"/>
    <n v="5"/>
    <n v="38"/>
  </r>
  <r>
    <x v="352"/>
    <x v="1"/>
    <x v="4"/>
    <n v="5"/>
    <n v="21"/>
  </r>
  <r>
    <x v="353"/>
    <x v="0"/>
    <x v="8"/>
    <n v="5"/>
    <n v="33"/>
  </r>
  <r>
    <x v="354"/>
    <x v="1"/>
    <x v="3"/>
    <n v="3"/>
    <n v="43"/>
  </r>
  <r>
    <x v="355"/>
    <x v="0"/>
    <x v="0"/>
    <n v="4"/>
    <n v="65"/>
  </r>
  <r>
    <x v="356"/>
    <x v="1"/>
    <x v="0"/>
    <n v="2"/>
    <n v="48"/>
  </r>
  <r>
    <x v="357"/>
    <x v="1"/>
    <x v="4"/>
    <n v="4"/>
    <n v="43"/>
  </r>
  <r>
    <x v="358"/>
    <x v="0"/>
    <x v="1"/>
    <n v="5"/>
    <n v="56"/>
  </r>
  <r>
    <x v="359"/>
    <x v="1"/>
    <x v="9"/>
    <n v="3"/>
    <n v="68"/>
  </r>
  <r>
    <x v="360"/>
    <x v="1"/>
    <x v="6"/>
    <n v="2"/>
    <n v="63"/>
  </r>
  <r>
    <x v="361"/>
    <x v="1"/>
    <x v="6"/>
    <n v="3"/>
    <n v="39"/>
  </r>
  <r>
    <x v="362"/>
    <x v="1"/>
    <x v="7"/>
    <n v="2"/>
    <n v="61"/>
  </r>
  <r>
    <x v="363"/>
    <x v="0"/>
    <x v="2"/>
    <n v="5"/>
    <n v="35"/>
  </r>
  <r>
    <x v="364"/>
    <x v="0"/>
    <x v="2"/>
    <n v="3"/>
    <n v="66"/>
  </r>
  <r>
    <x v="365"/>
    <x v="1"/>
    <x v="5"/>
    <n v="1"/>
    <n v="26"/>
  </r>
  <r>
    <x v="366"/>
    <x v="0"/>
    <x v="0"/>
    <n v="5"/>
    <n v="37"/>
  </r>
  <r>
    <x v="367"/>
    <x v="0"/>
    <x v="2"/>
    <n v="5"/>
    <n v="38"/>
  </r>
  <r>
    <x v="368"/>
    <x v="0"/>
    <x v="8"/>
    <n v="4"/>
    <n v="20"/>
  </r>
  <r>
    <x v="369"/>
    <x v="1"/>
    <x v="5"/>
    <n v="1"/>
    <n v="39"/>
  </r>
  <r>
    <x v="370"/>
    <x v="1"/>
    <x v="3"/>
    <n v="3"/>
    <n v="20"/>
  </r>
  <r>
    <x v="371"/>
    <x v="1"/>
    <x v="7"/>
    <n v="1"/>
    <n v="27"/>
  </r>
  <r>
    <x v="372"/>
    <x v="0"/>
    <x v="4"/>
    <n v="3"/>
    <n v="33"/>
  </r>
  <r>
    <x v="373"/>
    <x v="1"/>
    <x v="8"/>
    <n v="1"/>
    <n v="50"/>
  </r>
  <r>
    <x v="374"/>
    <x v="1"/>
    <x v="6"/>
    <n v="5"/>
    <n v="28"/>
  </r>
  <r>
    <x v="375"/>
    <x v="0"/>
    <x v="8"/>
    <n v="2"/>
    <n v="69"/>
  </r>
  <r>
    <x v="376"/>
    <x v="1"/>
    <x v="4"/>
    <n v="3"/>
    <n v="41"/>
  </r>
  <r>
    <x v="377"/>
    <x v="0"/>
    <x v="1"/>
    <n v="2"/>
    <n v="32"/>
  </r>
  <r>
    <x v="378"/>
    <x v="0"/>
    <x v="8"/>
    <n v="4"/>
    <n v="21"/>
  </r>
  <r>
    <x v="379"/>
    <x v="0"/>
    <x v="3"/>
    <n v="2"/>
    <n v="48"/>
  </r>
  <r>
    <x v="380"/>
    <x v="1"/>
    <x v="2"/>
    <n v="3"/>
    <n v="54"/>
  </r>
  <r>
    <x v="381"/>
    <x v="1"/>
    <x v="4"/>
    <n v="2"/>
    <n v="59"/>
  </r>
  <r>
    <x v="382"/>
    <x v="1"/>
    <x v="2"/>
    <n v="4"/>
    <n v="19"/>
  </r>
  <r>
    <x v="383"/>
    <x v="0"/>
    <x v="0"/>
    <n v="4"/>
    <n v="64"/>
  </r>
  <r>
    <x v="384"/>
    <x v="0"/>
    <x v="1"/>
    <n v="5"/>
    <n v="35"/>
  </r>
  <r>
    <x v="385"/>
    <x v="0"/>
    <x v="7"/>
    <n v="3"/>
    <n v="65"/>
  </r>
  <r>
    <x v="386"/>
    <x v="1"/>
    <x v="5"/>
    <n v="1"/>
    <n v="52"/>
  </r>
  <r>
    <x v="387"/>
    <x v="1"/>
    <x v="8"/>
    <n v="1"/>
    <n v="19"/>
  </r>
  <r>
    <x v="388"/>
    <x v="1"/>
    <x v="7"/>
    <n v="4"/>
    <n v="32"/>
  </r>
  <r>
    <x v="389"/>
    <x v="1"/>
    <x v="3"/>
    <n v="5"/>
    <n v="29"/>
  </r>
  <r>
    <x v="390"/>
    <x v="0"/>
    <x v="9"/>
    <n v="1"/>
    <n v="56"/>
  </r>
  <r>
    <x v="391"/>
    <x v="1"/>
    <x v="9"/>
    <n v="5"/>
    <n v="58"/>
  </r>
  <r>
    <x v="392"/>
    <x v="0"/>
    <x v="0"/>
    <n v="2"/>
    <n v="58"/>
  </r>
  <r>
    <x v="393"/>
    <x v="1"/>
    <x v="9"/>
    <n v="5"/>
    <n v="69"/>
  </r>
  <r>
    <x v="394"/>
    <x v="0"/>
    <x v="4"/>
    <n v="2"/>
    <n v="64"/>
  </r>
  <r>
    <x v="395"/>
    <x v="1"/>
    <x v="3"/>
    <n v="5"/>
    <n v="70"/>
  </r>
  <r>
    <x v="396"/>
    <x v="1"/>
    <x v="3"/>
    <n v="3"/>
    <n v="47"/>
  </r>
  <r>
    <x v="397"/>
    <x v="1"/>
    <x v="6"/>
    <n v="3"/>
    <n v="59"/>
  </r>
  <r>
    <x v="398"/>
    <x v="0"/>
    <x v="5"/>
    <n v="2"/>
    <n v="69"/>
  </r>
  <r>
    <x v="399"/>
    <x v="1"/>
    <x v="3"/>
    <n v="1"/>
    <n v="68"/>
  </r>
  <r>
    <x v="400"/>
    <x v="0"/>
    <x v="8"/>
    <n v="1"/>
    <n v="50"/>
  </r>
  <r>
    <x v="401"/>
    <x v="1"/>
    <x v="9"/>
    <n v="5"/>
    <n v="18"/>
  </r>
  <r>
    <x v="402"/>
    <x v="0"/>
    <x v="4"/>
    <n v="1"/>
    <n v="24"/>
  </r>
  <r>
    <x v="403"/>
    <x v="0"/>
    <x v="6"/>
    <n v="1"/>
    <n v="52"/>
  </r>
  <r>
    <x v="404"/>
    <x v="1"/>
    <x v="6"/>
    <n v="4"/>
    <n v="61"/>
  </r>
  <r>
    <x v="405"/>
    <x v="1"/>
    <x v="2"/>
    <n v="1"/>
    <n v="66"/>
  </r>
  <r>
    <x v="406"/>
    <x v="1"/>
    <x v="8"/>
    <n v="4"/>
    <n v="48"/>
  </r>
  <r>
    <x v="407"/>
    <x v="1"/>
    <x v="5"/>
    <n v="3"/>
    <n v="46"/>
  </r>
  <r>
    <x v="408"/>
    <x v="0"/>
    <x v="3"/>
    <n v="2"/>
    <n v="70"/>
  </r>
  <r>
    <x v="409"/>
    <x v="1"/>
    <x v="8"/>
    <n v="5"/>
    <n v="38"/>
  </r>
  <r>
    <x v="410"/>
    <x v="0"/>
    <x v="2"/>
    <n v="4"/>
    <n v="22"/>
  </r>
  <r>
    <x v="411"/>
    <x v="0"/>
    <x v="7"/>
    <n v="3"/>
    <n v="20"/>
  </r>
  <r>
    <x v="412"/>
    <x v="0"/>
    <x v="1"/>
    <n v="2"/>
    <n v="30"/>
  </r>
  <r>
    <x v="413"/>
    <x v="1"/>
    <x v="3"/>
    <n v="3"/>
    <n v="23"/>
  </r>
  <r>
    <x v="414"/>
    <x v="1"/>
    <x v="5"/>
    <n v="2"/>
    <n v="45"/>
  </r>
  <r>
    <x v="415"/>
    <x v="0"/>
    <x v="0"/>
    <n v="3"/>
    <n v="38"/>
  </r>
  <r>
    <x v="416"/>
    <x v="0"/>
    <x v="7"/>
    <n v="3"/>
    <n v="38"/>
  </r>
  <r>
    <x v="417"/>
    <x v="1"/>
    <x v="1"/>
    <n v="4"/>
    <n v="18"/>
  </r>
  <r>
    <x v="418"/>
    <x v="0"/>
    <x v="6"/>
    <n v="4"/>
    <n v="59"/>
  </r>
  <r>
    <x v="419"/>
    <x v="0"/>
    <x v="0"/>
    <n v="4"/>
    <n v="58"/>
  </r>
  <r>
    <x v="420"/>
    <x v="0"/>
    <x v="3"/>
    <n v="5"/>
    <n v="42"/>
  </r>
  <r>
    <x v="421"/>
    <x v="1"/>
    <x v="5"/>
    <n v="5"/>
    <n v="23"/>
  </r>
  <r>
    <x v="422"/>
    <x v="0"/>
    <x v="2"/>
    <n v="5"/>
    <n v="52"/>
  </r>
  <r>
    <x v="423"/>
    <x v="1"/>
    <x v="0"/>
    <n v="2"/>
    <n v="68"/>
  </r>
  <r>
    <x v="424"/>
    <x v="1"/>
    <x v="0"/>
    <n v="3"/>
    <n v="49"/>
  </r>
  <r>
    <x v="425"/>
    <x v="1"/>
    <x v="8"/>
    <n v="3"/>
    <n v="34"/>
  </r>
  <r>
    <x v="426"/>
    <x v="0"/>
    <x v="6"/>
    <n v="4"/>
    <n v="62"/>
  </r>
  <r>
    <x v="427"/>
    <x v="1"/>
    <x v="1"/>
    <n v="3"/>
    <n v="40"/>
  </r>
  <r>
    <x v="428"/>
    <x v="0"/>
    <x v="4"/>
    <n v="1"/>
    <n v="45"/>
  </r>
  <r>
    <x v="429"/>
    <x v="0"/>
    <x v="3"/>
    <n v="3"/>
    <n v="56"/>
  </r>
  <r>
    <x v="430"/>
    <x v="1"/>
    <x v="9"/>
    <n v="1"/>
    <n v="21"/>
  </r>
  <r>
    <x v="431"/>
    <x v="0"/>
    <x v="8"/>
    <n v="3"/>
    <n v="56"/>
  </r>
  <r>
    <x v="432"/>
    <x v="1"/>
    <x v="2"/>
    <n v="3"/>
    <n v="37"/>
  </r>
  <r>
    <x v="433"/>
    <x v="1"/>
    <x v="9"/>
    <n v="5"/>
    <n v="51"/>
  </r>
  <r>
    <x v="434"/>
    <x v="0"/>
    <x v="3"/>
    <n v="1"/>
    <n v="28"/>
  </r>
  <r>
    <x v="435"/>
    <x v="0"/>
    <x v="9"/>
    <n v="1"/>
    <n v="23"/>
  </r>
  <r>
    <x v="436"/>
    <x v="0"/>
    <x v="7"/>
    <n v="4"/>
    <n v="16"/>
  </r>
  <r>
    <x v="437"/>
    <x v="0"/>
    <x v="4"/>
    <n v="3"/>
    <n v="17"/>
  </r>
  <r>
    <x v="438"/>
    <x v="0"/>
    <x v="5"/>
    <n v="2"/>
    <n v="24"/>
  </r>
  <r>
    <x v="439"/>
    <x v="1"/>
    <x v="5"/>
    <n v="1"/>
    <n v="49"/>
  </r>
  <r>
    <x v="440"/>
    <x v="1"/>
    <x v="5"/>
    <n v="4"/>
    <n v="38"/>
  </r>
  <r>
    <x v="441"/>
    <x v="0"/>
    <x v="7"/>
    <n v="1"/>
    <n v="36"/>
  </r>
  <r>
    <x v="442"/>
    <x v="0"/>
    <x v="2"/>
    <n v="1"/>
    <n v="30"/>
  </r>
  <r>
    <x v="443"/>
    <x v="0"/>
    <x v="3"/>
    <n v="2"/>
    <n v="44"/>
  </r>
  <r>
    <x v="444"/>
    <x v="1"/>
    <x v="1"/>
    <n v="5"/>
    <n v="15"/>
  </r>
  <r>
    <x v="445"/>
    <x v="1"/>
    <x v="9"/>
    <n v="2"/>
    <n v="38"/>
  </r>
  <r>
    <x v="446"/>
    <x v="1"/>
    <x v="3"/>
    <n v="4"/>
    <n v="32"/>
  </r>
  <r>
    <x v="447"/>
    <x v="1"/>
    <x v="7"/>
    <n v="4"/>
    <n v="28"/>
  </r>
  <r>
    <x v="448"/>
    <x v="1"/>
    <x v="3"/>
    <n v="1"/>
    <n v="40"/>
  </r>
  <r>
    <x v="449"/>
    <x v="1"/>
    <x v="9"/>
    <n v="1"/>
    <n v="52"/>
  </r>
  <r>
    <x v="450"/>
    <x v="0"/>
    <x v="9"/>
    <n v="4"/>
    <n v="65"/>
  </r>
  <r>
    <x v="451"/>
    <x v="1"/>
    <x v="8"/>
    <n v="5"/>
    <n v="29"/>
  </r>
  <r>
    <x v="452"/>
    <x v="0"/>
    <x v="2"/>
    <n v="3"/>
    <n v="20"/>
  </r>
  <r>
    <x v="453"/>
    <x v="1"/>
    <x v="7"/>
    <n v="1"/>
    <n v="22"/>
  </r>
  <r>
    <x v="454"/>
    <x v="1"/>
    <x v="0"/>
    <n v="3"/>
    <n v="15"/>
  </r>
  <r>
    <x v="455"/>
    <x v="1"/>
    <x v="9"/>
    <n v="5"/>
    <n v="16"/>
  </r>
  <r>
    <x v="456"/>
    <x v="1"/>
    <x v="8"/>
    <n v="5"/>
    <n v="47"/>
  </r>
  <r>
    <x v="457"/>
    <x v="0"/>
    <x v="0"/>
    <n v="2"/>
    <n v="50"/>
  </r>
  <r>
    <x v="458"/>
    <x v="1"/>
    <x v="8"/>
    <n v="1"/>
    <n v="15"/>
  </r>
  <r>
    <x v="459"/>
    <x v="0"/>
    <x v="7"/>
    <n v="4"/>
    <n v="69"/>
  </r>
  <r>
    <x v="460"/>
    <x v="0"/>
    <x v="9"/>
    <n v="2"/>
    <n v="51"/>
  </r>
  <r>
    <x v="461"/>
    <x v="1"/>
    <x v="4"/>
    <n v="1"/>
    <n v="58"/>
  </r>
  <r>
    <x v="462"/>
    <x v="1"/>
    <x v="3"/>
    <n v="3"/>
    <n v="50"/>
  </r>
  <r>
    <x v="463"/>
    <x v="0"/>
    <x v="7"/>
    <n v="5"/>
    <n v="64"/>
  </r>
  <r>
    <x v="464"/>
    <x v="0"/>
    <x v="3"/>
    <n v="5"/>
    <n v="25"/>
  </r>
  <r>
    <x v="465"/>
    <x v="1"/>
    <x v="1"/>
    <n v="3"/>
    <n v="61"/>
  </r>
  <r>
    <x v="466"/>
    <x v="0"/>
    <x v="9"/>
    <n v="1"/>
    <n v="30"/>
  </r>
  <r>
    <x v="467"/>
    <x v="1"/>
    <x v="7"/>
    <n v="3"/>
    <n v="68"/>
  </r>
  <r>
    <x v="468"/>
    <x v="0"/>
    <x v="3"/>
    <n v="2"/>
    <n v="38"/>
  </r>
  <r>
    <x v="469"/>
    <x v="0"/>
    <x v="5"/>
    <n v="1"/>
    <n v="15"/>
  </r>
  <r>
    <x v="470"/>
    <x v="1"/>
    <x v="1"/>
    <n v="2"/>
    <n v="50"/>
  </r>
  <r>
    <x v="471"/>
    <x v="1"/>
    <x v="1"/>
    <n v="5"/>
    <n v="34"/>
  </r>
  <r>
    <x v="472"/>
    <x v="1"/>
    <x v="9"/>
    <n v="3"/>
    <n v="29"/>
  </r>
  <r>
    <x v="473"/>
    <x v="1"/>
    <x v="1"/>
    <n v="1"/>
    <n v="23"/>
  </r>
  <r>
    <x v="474"/>
    <x v="0"/>
    <x v="4"/>
    <n v="5"/>
    <n v="48"/>
  </r>
  <r>
    <x v="475"/>
    <x v="0"/>
    <x v="6"/>
    <n v="1"/>
    <n v="49"/>
  </r>
  <r>
    <x v="476"/>
    <x v="1"/>
    <x v="9"/>
    <n v="5"/>
    <n v="68"/>
  </r>
  <r>
    <x v="477"/>
    <x v="1"/>
    <x v="2"/>
    <n v="1"/>
    <n v="59"/>
  </r>
  <r>
    <x v="478"/>
    <x v="0"/>
    <x v="5"/>
    <n v="2"/>
    <n v="36"/>
  </r>
  <r>
    <x v="479"/>
    <x v="1"/>
    <x v="4"/>
    <n v="1"/>
    <n v="16"/>
  </r>
  <r>
    <x v="480"/>
    <x v="1"/>
    <x v="6"/>
    <n v="1"/>
    <n v="31"/>
  </r>
  <r>
    <x v="481"/>
    <x v="0"/>
    <x v="2"/>
    <n v="5"/>
    <n v="45"/>
  </r>
  <r>
    <x v="482"/>
    <x v="0"/>
    <x v="8"/>
    <n v="4"/>
    <n v="15"/>
  </r>
  <r>
    <x v="483"/>
    <x v="0"/>
    <x v="1"/>
    <n v="5"/>
    <n v="67"/>
  </r>
  <r>
    <x v="484"/>
    <x v="1"/>
    <x v="3"/>
    <n v="5"/>
    <n v="21"/>
  </r>
  <r>
    <x v="485"/>
    <x v="0"/>
    <x v="1"/>
    <n v="5"/>
    <n v="24"/>
  </r>
  <r>
    <x v="486"/>
    <x v="0"/>
    <x v="7"/>
    <n v="5"/>
    <n v="59"/>
  </r>
  <r>
    <x v="487"/>
    <x v="1"/>
    <x v="9"/>
    <n v="5"/>
    <n v="52"/>
  </r>
  <r>
    <x v="488"/>
    <x v="1"/>
    <x v="4"/>
    <n v="1"/>
    <n v="62"/>
  </r>
  <r>
    <x v="489"/>
    <x v="0"/>
    <x v="4"/>
    <n v="4"/>
    <n v="38"/>
  </r>
  <r>
    <x v="490"/>
    <x v="0"/>
    <x v="8"/>
    <n v="3"/>
    <n v="66"/>
  </r>
  <r>
    <x v="491"/>
    <x v="0"/>
    <x v="1"/>
    <n v="4"/>
    <n v="32"/>
  </r>
  <r>
    <x v="492"/>
    <x v="1"/>
    <x v="1"/>
    <n v="3"/>
    <n v="29"/>
  </r>
  <r>
    <x v="493"/>
    <x v="0"/>
    <x v="7"/>
    <n v="5"/>
    <n v="47"/>
  </r>
  <r>
    <x v="494"/>
    <x v="0"/>
    <x v="5"/>
    <n v="1"/>
    <n v="48"/>
  </r>
  <r>
    <x v="495"/>
    <x v="0"/>
    <x v="4"/>
    <n v="5"/>
    <n v="54"/>
  </r>
  <r>
    <x v="496"/>
    <x v="0"/>
    <x v="0"/>
    <n v="4"/>
    <n v="61"/>
  </r>
  <r>
    <x v="497"/>
    <x v="1"/>
    <x v="2"/>
    <n v="1"/>
    <n v="53"/>
  </r>
  <r>
    <x v="498"/>
    <x v="0"/>
    <x v="3"/>
    <n v="2"/>
    <n v="35"/>
  </r>
  <r>
    <x v="499"/>
    <x v="0"/>
    <x v="4"/>
    <n v="3"/>
    <n v="53"/>
  </r>
  <r>
    <x v="500"/>
    <x v="0"/>
    <x v="8"/>
    <n v="4"/>
    <n v="40"/>
  </r>
  <r>
    <x v="501"/>
    <x v="0"/>
    <x v="1"/>
    <n v="3"/>
    <n v="32"/>
  </r>
  <r>
    <x v="502"/>
    <x v="0"/>
    <x v="1"/>
    <n v="2"/>
    <n v="18"/>
  </r>
  <r>
    <x v="503"/>
    <x v="0"/>
    <x v="5"/>
    <n v="2"/>
    <n v="54"/>
  </r>
  <r>
    <x v="504"/>
    <x v="0"/>
    <x v="9"/>
    <n v="4"/>
    <n v="67"/>
  </r>
  <r>
    <x v="505"/>
    <x v="1"/>
    <x v="5"/>
    <n v="3"/>
    <n v="53"/>
  </r>
  <r>
    <x v="506"/>
    <x v="1"/>
    <x v="5"/>
    <n v="5"/>
    <n v="20"/>
  </r>
  <r>
    <x v="507"/>
    <x v="0"/>
    <x v="1"/>
    <n v="5"/>
    <n v="46"/>
  </r>
  <r>
    <x v="508"/>
    <x v="0"/>
    <x v="0"/>
    <n v="1"/>
    <n v="32"/>
  </r>
  <r>
    <x v="509"/>
    <x v="0"/>
    <x v="3"/>
    <n v="2"/>
    <n v="23"/>
  </r>
  <r>
    <x v="510"/>
    <x v="0"/>
    <x v="4"/>
    <n v="2"/>
    <n v="67"/>
  </r>
  <r>
    <x v="511"/>
    <x v="0"/>
    <x v="4"/>
    <n v="5"/>
    <n v="42"/>
  </r>
  <r>
    <x v="512"/>
    <x v="1"/>
    <x v="2"/>
    <n v="5"/>
    <n v="24"/>
  </r>
  <r>
    <x v="513"/>
    <x v="0"/>
    <x v="5"/>
    <n v="2"/>
    <n v="31"/>
  </r>
  <r>
    <x v="514"/>
    <x v="0"/>
    <x v="7"/>
    <n v="4"/>
    <n v="28"/>
  </r>
  <r>
    <x v="515"/>
    <x v="0"/>
    <x v="9"/>
    <n v="4"/>
    <n v="51"/>
  </r>
  <r>
    <x v="516"/>
    <x v="0"/>
    <x v="0"/>
    <n v="5"/>
    <n v="67"/>
  </r>
  <r>
    <x v="517"/>
    <x v="1"/>
    <x v="5"/>
    <n v="3"/>
    <n v="34"/>
  </r>
  <r>
    <x v="518"/>
    <x v="0"/>
    <x v="8"/>
    <n v="5"/>
    <n v="17"/>
  </r>
  <r>
    <x v="519"/>
    <x v="1"/>
    <x v="2"/>
    <n v="1"/>
    <n v="63"/>
  </r>
  <r>
    <x v="520"/>
    <x v="1"/>
    <x v="2"/>
    <n v="4"/>
    <n v="53"/>
  </r>
  <r>
    <x v="521"/>
    <x v="1"/>
    <x v="3"/>
    <n v="2"/>
    <n v="64"/>
  </r>
  <r>
    <x v="522"/>
    <x v="1"/>
    <x v="9"/>
    <n v="3"/>
    <n v="60"/>
  </r>
  <r>
    <x v="523"/>
    <x v="1"/>
    <x v="9"/>
    <n v="3"/>
    <n v="32"/>
  </r>
  <r>
    <x v="524"/>
    <x v="1"/>
    <x v="6"/>
    <n v="1"/>
    <n v="25"/>
  </r>
  <r>
    <x v="525"/>
    <x v="0"/>
    <x v="8"/>
    <n v="5"/>
    <n v="49"/>
  </r>
  <r>
    <x v="526"/>
    <x v="1"/>
    <x v="4"/>
    <n v="3"/>
    <n v="63"/>
  </r>
  <r>
    <x v="527"/>
    <x v="1"/>
    <x v="5"/>
    <n v="1"/>
    <n v="34"/>
  </r>
  <r>
    <x v="528"/>
    <x v="1"/>
    <x v="5"/>
    <n v="4"/>
    <n v="65"/>
  </r>
  <r>
    <x v="529"/>
    <x v="1"/>
    <x v="6"/>
    <n v="5"/>
    <n v="62"/>
  </r>
  <r>
    <x v="530"/>
    <x v="0"/>
    <x v="0"/>
    <n v="3"/>
    <n v="50"/>
  </r>
  <r>
    <x v="531"/>
    <x v="1"/>
    <x v="9"/>
    <n v="1"/>
    <n v="32"/>
  </r>
  <r>
    <x v="532"/>
    <x v="0"/>
    <x v="8"/>
    <n v="4"/>
    <n v="54"/>
  </r>
  <r>
    <x v="533"/>
    <x v="0"/>
    <x v="0"/>
    <n v="2"/>
    <n v="67"/>
  </r>
  <r>
    <x v="534"/>
    <x v="0"/>
    <x v="7"/>
    <n v="4"/>
    <n v="37"/>
  </r>
  <r>
    <x v="535"/>
    <x v="0"/>
    <x v="6"/>
    <n v="2"/>
    <n v="53"/>
  </r>
  <r>
    <x v="536"/>
    <x v="0"/>
    <x v="8"/>
    <n v="1"/>
    <n v="53"/>
  </r>
  <r>
    <x v="537"/>
    <x v="1"/>
    <x v="2"/>
    <n v="3"/>
    <n v="37"/>
  </r>
  <r>
    <x v="538"/>
    <x v="0"/>
    <x v="2"/>
    <n v="2"/>
    <n v="17"/>
  </r>
  <r>
    <x v="539"/>
    <x v="0"/>
    <x v="9"/>
    <n v="5"/>
    <n v="57"/>
  </r>
  <r>
    <x v="540"/>
    <x v="0"/>
    <x v="6"/>
    <n v="1"/>
    <n v="63"/>
  </r>
  <r>
    <x v="541"/>
    <x v="1"/>
    <x v="5"/>
    <n v="1"/>
    <n v="15"/>
  </r>
  <r>
    <x v="542"/>
    <x v="1"/>
    <x v="2"/>
    <n v="5"/>
    <n v="25"/>
  </r>
  <r>
    <x v="543"/>
    <x v="0"/>
    <x v="5"/>
    <n v="1"/>
    <n v="35"/>
  </r>
  <r>
    <x v="544"/>
    <x v="1"/>
    <x v="3"/>
    <n v="3"/>
    <n v="59"/>
  </r>
  <r>
    <x v="545"/>
    <x v="0"/>
    <x v="3"/>
    <n v="5"/>
    <n v="28"/>
  </r>
  <r>
    <x v="546"/>
    <x v="1"/>
    <x v="5"/>
    <n v="4"/>
    <n v="22"/>
  </r>
  <r>
    <x v="547"/>
    <x v="0"/>
    <x v="1"/>
    <n v="1"/>
    <n v="56"/>
  </r>
  <r>
    <x v="548"/>
    <x v="1"/>
    <x v="6"/>
    <n v="4"/>
    <n v="43"/>
  </r>
  <r>
    <x v="549"/>
    <x v="0"/>
    <x v="9"/>
    <n v="5"/>
    <n v="60"/>
  </r>
  <r>
    <x v="550"/>
    <x v="1"/>
    <x v="8"/>
    <n v="1"/>
    <n v="45"/>
  </r>
  <r>
    <x v="551"/>
    <x v="1"/>
    <x v="8"/>
    <n v="4"/>
    <n v="62"/>
  </r>
  <r>
    <x v="552"/>
    <x v="0"/>
    <x v="8"/>
    <n v="5"/>
    <n v="69"/>
  </r>
  <r>
    <x v="553"/>
    <x v="1"/>
    <x v="1"/>
    <n v="2"/>
    <n v="65"/>
  </r>
  <r>
    <x v="554"/>
    <x v="1"/>
    <x v="4"/>
    <n v="1"/>
    <n v="60"/>
  </r>
  <r>
    <x v="555"/>
    <x v="1"/>
    <x v="8"/>
    <n v="2"/>
    <n v="51"/>
  </r>
  <r>
    <x v="556"/>
    <x v="1"/>
    <x v="0"/>
    <n v="4"/>
    <n v="69"/>
  </r>
  <r>
    <x v="557"/>
    <x v="0"/>
    <x v="7"/>
    <n v="2"/>
    <n v="27"/>
  </r>
  <r>
    <x v="558"/>
    <x v="1"/>
    <x v="7"/>
    <n v="1"/>
    <n v="33"/>
  </r>
  <r>
    <x v="559"/>
    <x v="1"/>
    <x v="4"/>
    <n v="5"/>
    <n v="35"/>
  </r>
  <r>
    <x v="560"/>
    <x v="0"/>
    <x v="8"/>
    <n v="2"/>
    <n v="63"/>
  </r>
  <r>
    <x v="561"/>
    <x v="0"/>
    <x v="4"/>
    <n v="5"/>
    <n v="44"/>
  </r>
  <r>
    <x v="562"/>
    <x v="0"/>
    <x v="5"/>
    <n v="3"/>
    <n v="52"/>
  </r>
  <r>
    <x v="563"/>
    <x v="1"/>
    <x v="0"/>
    <n v="3"/>
    <n v="45"/>
  </r>
  <r>
    <x v="564"/>
    <x v="1"/>
    <x v="7"/>
    <n v="3"/>
    <n v="18"/>
  </r>
  <r>
    <x v="565"/>
    <x v="0"/>
    <x v="3"/>
    <n v="5"/>
    <n v="30"/>
  </r>
  <r>
    <x v="566"/>
    <x v="1"/>
    <x v="0"/>
    <n v="3"/>
    <n v="51"/>
  </r>
  <r>
    <x v="567"/>
    <x v="1"/>
    <x v="3"/>
    <n v="2"/>
    <n v="59"/>
  </r>
  <r>
    <x v="568"/>
    <x v="1"/>
    <x v="7"/>
    <n v="5"/>
    <n v="50"/>
  </r>
  <r>
    <x v="569"/>
    <x v="0"/>
    <x v="6"/>
    <n v="4"/>
    <n v="17"/>
  </r>
  <r>
    <x v="570"/>
    <x v="1"/>
    <x v="8"/>
    <n v="3"/>
    <n v="19"/>
  </r>
  <r>
    <x v="571"/>
    <x v="1"/>
    <x v="8"/>
    <n v="5"/>
    <n v="70"/>
  </r>
  <r>
    <x v="572"/>
    <x v="1"/>
    <x v="3"/>
    <n v="5"/>
    <n v="45"/>
  </r>
  <r>
    <x v="573"/>
    <x v="0"/>
    <x v="9"/>
    <n v="4"/>
    <n v="17"/>
  </r>
  <r>
    <x v="574"/>
    <x v="0"/>
    <x v="3"/>
    <n v="1"/>
    <n v="58"/>
  </r>
  <r>
    <x v="575"/>
    <x v="1"/>
    <x v="3"/>
    <n v="4"/>
    <n v="46"/>
  </r>
  <r>
    <x v="576"/>
    <x v="0"/>
    <x v="0"/>
    <n v="1"/>
    <n v="30"/>
  </r>
  <r>
    <x v="577"/>
    <x v="0"/>
    <x v="0"/>
    <n v="2"/>
    <n v="63"/>
  </r>
  <r>
    <x v="578"/>
    <x v="1"/>
    <x v="1"/>
    <n v="2"/>
    <n v="57"/>
  </r>
  <r>
    <x v="579"/>
    <x v="0"/>
    <x v="3"/>
    <n v="2"/>
    <n v="49"/>
  </r>
  <r>
    <x v="580"/>
    <x v="1"/>
    <x v="3"/>
    <n v="5"/>
    <n v="25"/>
  </r>
  <r>
    <x v="581"/>
    <x v="1"/>
    <x v="7"/>
    <n v="1"/>
    <n v="55"/>
  </r>
  <r>
    <x v="582"/>
    <x v="0"/>
    <x v="2"/>
    <n v="2"/>
    <n v="50"/>
  </r>
  <r>
    <x v="583"/>
    <x v="1"/>
    <x v="7"/>
    <n v="2"/>
    <n v="43"/>
  </r>
  <r>
    <x v="584"/>
    <x v="0"/>
    <x v="2"/>
    <n v="3"/>
    <n v="67"/>
  </r>
  <r>
    <x v="585"/>
    <x v="1"/>
    <x v="7"/>
    <n v="3"/>
    <n v="19"/>
  </r>
  <r>
    <x v="586"/>
    <x v="1"/>
    <x v="6"/>
    <n v="4"/>
    <n v="32"/>
  </r>
  <r>
    <x v="587"/>
    <x v="1"/>
    <x v="7"/>
    <n v="3"/>
    <n v="22"/>
  </r>
  <r>
    <x v="588"/>
    <x v="1"/>
    <x v="8"/>
    <n v="4"/>
    <n v="66"/>
  </r>
  <r>
    <x v="589"/>
    <x v="0"/>
    <x v="5"/>
    <n v="1"/>
    <n v="36"/>
  </r>
  <r>
    <x v="590"/>
    <x v="0"/>
    <x v="9"/>
    <n v="1"/>
    <n v="36"/>
  </r>
  <r>
    <x v="591"/>
    <x v="0"/>
    <x v="8"/>
    <n v="2"/>
    <n v="61"/>
  </r>
  <r>
    <x v="592"/>
    <x v="1"/>
    <x v="8"/>
    <n v="1"/>
    <n v="51"/>
  </r>
  <r>
    <x v="593"/>
    <x v="1"/>
    <x v="4"/>
    <n v="1"/>
    <n v="49"/>
  </r>
  <r>
    <x v="594"/>
    <x v="0"/>
    <x v="6"/>
    <n v="5"/>
    <n v="50"/>
  </r>
  <r>
    <x v="595"/>
    <x v="1"/>
    <x v="2"/>
    <n v="2"/>
    <n v="36"/>
  </r>
  <r>
    <x v="596"/>
    <x v="0"/>
    <x v="6"/>
    <n v="3"/>
    <n v="41"/>
  </r>
  <r>
    <x v="597"/>
    <x v="0"/>
    <x v="4"/>
    <n v="4"/>
    <n v="32"/>
  </r>
  <r>
    <x v="598"/>
    <x v="0"/>
    <x v="9"/>
    <n v="4"/>
    <n v="24"/>
  </r>
  <r>
    <x v="599"/>
    <x v="1"/>
    <x v="5"/>
    <n v="3"/>
    <n v="63"/>
  </r>
  <r>
    <x v="600"/>
    <x v="1"/>
    <x v="6"/>
    <n v="4"/>
    <n v="20"/>
  </r>
  <r>
    <x v="601"/>
    <x v="1"/>
    <x v="1"/>
    <n v="5"/>
    <n v="55"/>
  </r>
  <r>
    <x v="602"/>
    <x v="1"/>
    <x v="0"/>
    <n v="4"/>
    <n v="35"/>
  </r>
  <r>
    <x v="603"/>
    <x v="1"/>
    <x v="0"/>
    <n v="4"/>
    <n v="65"/>
  </r>
  <r>
    <x v="604"/>
    <x v="1"/>
    <x v="9"/>
    <n v="4"/>
    <n v="47"/>
  </r>
  <r>
    <x v="605"/>
    <x v="0"/>
    <x v="5"/>
    <n v="4"/>
    <n v="40"/>
  </r>
  <r>
    <x v="606"/>
    <x v="0"/>
    <x v="0"/>
    <n v="4"/>
    <n v="57"/>
  </r>
  <r>
    <x v="607"/>
    <x v="1"/>
    <x v="0"/>
    <n v="4"/>
    <n v="23"/>
  </r>
  <r>
    <x v="608"/>
    <x v="0"/>
    <x v="3"/>
    <n v="2"/>
    <n v="67"/>
  </r>
  <r>
    <x v="609"/>
    <x v="0"/>
    <x v="9"/>
    <n v="1"/>
    <n v="22"/>
  </r>
  <r>
    <x v="610"/>
    <x v="1"/>
    <x v="2"/>
    <n v="1"/>
    <n v="50"/>
  </r>
  <r>
    <x v="611"/>
    <x v="0"/>
    <x v="3"/>
    <n v="2"/>
    <n v="70"/>
  </r>
  <r>
    <x v="612"/>
    <x v="1"/>
    <x v="7"/>
    <n v="1"/>
    <n v="46"/>
  </r>
  <r>
    <x v="613"/>
    <x v="0"/>
    <x v="3"/>
    <n v="2"/>
    <n v="33"/>
  </r>
  <r>
    <x v="614"/>
    <x v="1"/>
    <x v="7"/>
    <n v="2"/>
    <n v="68"/>
  </r>
  <r>
    <x v="615"/>
    <x v="1"/>
    <x v="4"/>
    <n v="4"/>
    <n v="33"/>
  </r>
  <r>
    <x v="616"/>
    <x v="0"/>
    <x v="1"/>
    <n v="2"/>
    <n v="51"/>
  </r>
  <r>
    <x v="617"/>
    <x v="0"/>
    <x v="6"/>
    <n v="4"/>
    <n v="57"/>
  </r>
  <r>
    <x v="618"/>
    <x v="0"/>
    <x v="5"/>
    <n v="2"/>
    <n v="55"/>
  </r>
  <r>
    <x v="619"/>
    <x v="1"/>
    <x v="2"/>
    <n v="3"/>
    <n v="52"/>
  </r>
  <r>
    <x v="620"/>
    <x v="0"/>
    <x v="4"/>
    <n v="2"/>
    <n v="66"/>
  </r>
  <r>
    <x v="621"/>
    <x v="1"/>
    <x v="5"/>
    <n v="3"/>
    <n v="61"/>
  </r>
  <r>
    <x v="622"/>
    <x v="1"/>
    <x v="4"/>
    <n v="4"/>
    <n v="65"/>
  </r>
  <r>
    <x v="623"/>
    <x v="0"/>
    <x v="7"/>
    <n v="1"/>
    <n v="70"/>
  </r>
  <r>
    <x v="624"/>
    <x v="0"/>
    <x v="2"/>
    <n v="3"/>
    <n v="21"/>
  </r>
  <r>
    <x v="625"/>
    <x v="0"/>
    <x v="1"/>
    <n v="5"/>
    <n v="57"/>
  </r>
  <r>
    <x v="626"/>
    <x v="1"/>
    <x v="6"/>
    <n v="2"/>
    <n v="43"/>
  </r>
  <r>
    <x v="627"/>
    <x v="0"/>
    <x v="2"/>
    <n v="4"/>
    <n v="52"/>
  </r>
  <r>
    <x v="628"/>
    <x v="1"/>
    <x v="3"/>
    <n v="2"/>
    <n v="34"/>
  </r>
  <r>
    <x v="629"/>
    <x v="0"/>
    <x v="5"/>
    <n v="4"/>
    <n v="66"/>
  </r>
  <r>
    <x v="630"/>
    <x v="0"/>
    <x v="5"/>
    <n v="4"/>
    <n v="39"/>
  </r>
  <r>
    <x v="631"/>
    <x v="1"/>
    <x v="0"/>
    <n v="2"/>
    <n v="17"/>
  </r>
  <r>
    <x v="632"/>
    <x v="0"/>
    <x v="1"/>
    <n v="1"/>
    <n v="52"/>
  </r>
  <r>
    <x v="633"/>
    <x v="1"/>
    <x v="2"/>
    <n v="2"/>
    <n v="27"/>
  </r>
  <r>
    <x v="634"/>
    <x v="1"/>
    <x v="9"/>
    <n v="2"/>
    <n v="57"/>
  </r>
  <r>
    <x v="635"/>
    <x v="1"/>
    <x v="6"/>
    <n v="1"/>
    <n v="51"/>
  </r>
  <r>
    <x v="636"/>
    <x v="0"/>
    <x v="8"/>
    <n v="3"/>
    <n v="61"/>
  </r>
  <r>
    <x v="637"/>
    <x v="0"/>
    <x v="2"/>
    <n v="4"/>
    <n v="53"/>
  </r>
  <r>
    <x v="638"/>
    <x v="0"/>
    <x v="2"/>
    <n v="3"/>
    <n v="38"/>
  </r>
  <r>
    <x v="639"/>
    <x v="0"/>
    <x v="3"/>
    <n v="1"/>
    <n v="52"/>
  </r>
  <r>
    <x v="640"/>
    <x v="1"/>
    <x v="7"/>
    <n v="4"/>
    <n v="60"/>
  </r>
  <r>
    <x v="641"/>
    <x v="0"/>
    <x v="6"/>
    <n v="5"/>
    <n v="47"/>
  </r>
  <r>
    <x v="642"/>
    <x v="0"/>
    <x v="0"/>
    <n v="4"/>
    <n v="54"/>
  </r>
  <r>
    <x v="643"/>
    <x v="1"/>
    <x v="3"/>
    <n v="2"/>
    <n v="36"/>
  </r>
  <r>
    <x v="644"/>
    <x v="1"/>
    <x v="0"/>
    <n v="1"/>
    <n v="44"/>
  </r>
  <r>
    <x v="645"/>
    <x v="0"/>
    <x v="3"/>
    <n v="4"/>
    <n v="17"/>
  </r>
  <r>
    <x v="646"/>
    <x v="1"/>
    <x v="8"/>
    <n v="2"/>
    <n v="60"/>
  </r>
  <r>
    <x v="647"/>
    <x v="1"/>
    <x v="5"/>
    <n v="2"/>
    <n v="49"/>
  </r>
  <r>
    <x v="648"/>
    <x v="1"/>
    <x v="8"/>
    <n v="2"/>
    <n v="61"/>
  </r>
  <r>
    <x v="649"/>
    <x v="1"/>
    <x v="5"/>
    <n v="2"/>
    <n v="64"/>
  </r>
  <r>
    <x v="650"/>
    <x v="1"/>
    <x v="4"/>
    <n v="3"/>
    <n v="68"/>
  </r>
  <r>
    <x v="651"/>
    <x v="0"/>
    <x v="6"/>
    <n v="1"/>
    <n v="45"/>
  </r>
  <r>
    <x v="652"/>
    <x v="0"/>
    <x v="3"/>
    <n v="4"/>
    <n v="27"/>
  </r>
  <r>
    <x v="653"/>
    <x v="1"/>
    <x v="1"/>
    <n v="3"/>
    <n v="47"/>
  </r>
  <r>
    <x v="654"/>
    <x v="0"/>
    <x v="6"/>
    <n v="3"/>
    <n v="68"/>
  </r>
  <r>
    <x v="655"/>
    <x v="1"/>
    <x v="1"/>
    <n v="2"/>
    <n v="24"/>
  </r>
  <r>
    <x v="656"/>
    <x v="0"/>
    <x v="3"/>
    <n v="1"/>
    <n v="17"/>
  </r>
  <r>
    <x v="657"/>
    <x v="1"/>
    <x v="8"/>
    <n v="2"/>
    <n v="17"/>
  </r>
  <r>
    <x v="658"/>
    <x v="0"/>
    <x v="9"/>
    <n v="1"/>
    <n v="52"/>
  </r>
  <r>
    <x v="659"/>
    <x v="0"/>
    <x v="7"/>
    <n v="3"/>
    <n v="69"/>
  </r>
  <r>
    <x v="660"/>
    <x v="0"/>
    <x v="7"/>
    <n v="2"/>
    <n v="44"/>
  </r>
  <r>
    <x v="661"/>
    <x v="0"/>
    <x v="1"/>
    <n v="2"/>
    <n v="18"/>
  </r>
  <r>
    <x v="662"/>
    <x v="1"/>
    <x v="4"/>
    <n v="3"/>
    <n v="40"/>
  </r>
  <r>
    <x v="663"/>
    <x v="1"/>
    <x v="3"/>
    <n v="1"/>
    <n v="44"/>
  </r>
  <r>
    <x v="664"/>
    <x v="1"/>
    <x v="2"/>
    <n v="2"/>
    <n v="42"/>
  </r>
  <r>
    <x v="665"/>
    <x v="1"/>
    <x v="5"/>
    <n v="4"/>
    <n v="50"/>
  </r>
  <r>
    <x v="666"/>
    <x v="0"/>
    <x v="1"/>
    <n v="2"/>
    <n v="38"/>
  </r>
  <r>
    <x v="667"/>
    <x v="0"/>
    <x v="0"/>
    <n v="5"/>
    <n v="59"/>
  </r>
  <r>
    <x v="668"/>
    <x v="1"/>
    <x v="2"/>
    <n v="1"/>
    <n v="18"/>
  </r>
  <r>
    <x v="669"/>
    <x v="0"/>
    <x v="4"/>
    <n v="3"/>
    <n v="65"/>
  </r>
  <r>
    <x v="670"/>
    <x v="0"/>
    <x v="6"/>
    <n v="3"/>
    <n v="27"/>
  </r>
  <r>
    <x v="671"/>
    <x v="1"/>
    <x v="1"/>
    <n v="3"/>
    <n v="42"/>
  </r>
  <r>
    <x v="672"/>
    <x v="0"/>
    <x v="5"/>
    <n v="3"/>
    <n v="27"/>
  </r>
  <r>
    <x v="673"/>
    <x v="0"/>
    <x v="9"/>
    <n v="2"/>
    <n v="50"/>
  </r>
  <r>
    <x v="674"/>
    <x v="1"/>
    <x v="2"/>
    <n v="4"/>
    <n v="70"/>
  </r>
  <r>
    <x v="675"/>
    <x v="0"/>
    <x v="8"/>
    <n v="4"/>
    <n v="43"/>
  </r>
  <r>
    <x v="676"/>
    <x v="1"/>
    <x v="0"/>
    <n v="5"/>
    <n v="54"/>
  </r>
  <r>
    <x v="677"/>
    <x v="1"/>
    <x v="2"/>
    <n v="5"/>
    <n v="41"/>
  </r>
  <r>
    <x v="678"/>
    <x v="1"/>
    <x v="7"/>
    <n v="3"/>
    <n v="19"/>
  </r>
  <r>
    <x v="679"/>
    <x v="0"/>
    <x v="2"/>
    <n v="4"/>
    <n v="28"/>
  </r>
  <r>
    <x v="680"/>
    <x v="0"/>
    <x v="8"/>
    <n v="3"/>
    <n v="34"/>
  </r>
  <r>
    <x v="681"/>
    <x v="0"/>
    <x v="9"/>
    <n v="3"/>
    <n v="69"/>
  </r>
  <r>
    <x v="682"/>
    <x v="0"/>
    <x v="7"/>
    <n v="5"/>
    <n v="35"/>
  </r>
  <r>
    <x v="683"/>
    <x v="0"/>
    <x v="4"/>
    <n v="4"/>
    <n v="40"/>
  </r>
  <r>
    <x v="684"/>
    <x v="0"/>
    <x v="6"/>
    <n v="4"/>
    <n v="21"/>
  </r>
  <r>
    <x v="685"/>
    <x v="0"/>
    <x v="5"/>
    <n v="1"/>
    <n v="43"/>
  </r>
  <r>
    <x v="686"/>
    <x v="0"/>
    <x v="7"/>
    <n v="3"/>
    <n v="37"/>
  </r>
  <r>
    <x v="687"/>
    <x v="1"/>
    <x v="9"/>
    <n v="1"/>
    <n v="62"/>
  </r>
  <r>
    <x v="688"/>
    <x v="1"/>
    <x v="8"/>
    <n v="1"/>
    <n v="63"/>
  </r>
  <r>
    <x v="689"/>
    <x v="0"/>
    <x v="1"/>
    <n v="4"/>
    <n v="29"/>
  </r>
  <r>
    <x v="690"/>
    <x v="1"/>
    <x v="1"/>
    <n v="5"/>
    <n v="55"/>
  </r>
  <r>
    <x v="691"/>
    <x v="0"/>
    <x v="4"/>
    <n v="1"/>
    <n v="15"/>
  </r>
  <r>
    <x v="692"/>
    <x v="0"/>
    <x v="2"/>
    <n v="5"/>
    <n v="31"/>
  </r>
  <r>
    <x v="693"/>
    <x v="1"/>
    <x v="7"/>
    <n v="3"/>
    <n v="35"/>
  </r>
  <r>
    <x v="694"/>
    <x v="1"/>
    <x v="0"/>
    <n v="4"/>
    <n v="30"/>
  </r>
  <r>
    <x v="695"/>
    <x v="1"/>
    <x v="9"/>
    <n v="3"/>
    <n v="60"/>
  </r>
  <r>
    <x v="696"/>
    <x v="0"/>
    <x v="5"/>
    <n v="4"/>
    <n v="22"/>
  </r>
  <r>
    <x v="697"/>
    <x v="1"/>
    <x v="3"/>
    <n v="5"/>
    <n v="25"/>
  </r>
  <r>
    <x v="698"/>
    <x v="0"/>
    <x v="9"/>
    <n v="2"/>
    <n v="36"/>
  </r>
  <r>
    <x v="699"/>
    <x v="1"/>
    <x v="4"/>
    <n v="5"/>
    <n v="47"/>
  </r>
  <r>
    <x v="700"/>
    <x v="1"/>
    <x v="1"/>
    <n v="4"/>
    <n v="20"/>
  </r>
  <r>
    <x v="701"/>
    <x v="1"/>
    <x v="9"/>
    <n v="4"/>
    <n v="63"/>
  </r>
  <r>
    <x v="702"/>
    <x v="0"/>
    <x v="0"/>
    <n v="1"/>
    <n v="67"/>
  </r>
  <r>
    <x v="703"/>
    <x v="1"/>
    <x v="3"/>
    <n v="5"/>
    <n v="38"/>
  </r>
  <r>
    <x v="704"/>
    <x v="0"/>
    <x v="8"/>
    <n v="4"/>
    <n v="26"/>
  </r>
  <r>
    <x v="705"/>
    <x v="0"/>
    <x v="4"/>
    <n v="2"/>
    <n v="40"/>
  </r>
  <r>
    <x v="706"/>
    <x v="0"/>
    <x v="0"/>
    <n v="2"/>
    <n v="57"/>
  </r>
  <r>
    <x v="707"/>
    <x v="0"/>
    <x v="0"/>
    <n v="2"/>
    <n v="30"/>
  </r>
  <r>
    <x v="708"/>
    <x v="0"/>
    <x v="5"/>
    <n v="5"/>
    <n v="47"/>
  </r>
  <r>
    <x v="709"/>
    <x v="0"/>
    <x v="0"/>
    <n v="1"/>
    <n v="26"/>
  </r>
  <r>
    <x v="710"/>
    <x v="0"/>
    <x v="1"/>
    <n v="1"/>
    <n v="50"/>
  </r>
  <r>
    <x v="711"/>
    <x v="1"/>
    <x v="7"/>
    <n v="1"/>
    <n v="23"/>
  </r>
  <r>
    <x v="712"/>
    <x v="1"/>
    <x v="0"/>
    <n v="2"/>
    <n v="69"/>
  </r>
  <r>
    <x v="713"/>
    <x v="1"/>
    <x v="5"/>
    <n v="3"/>
    <n v="59"/>
  </r>
  <r>
    <x v="714"/>
    <x v="0"/>
    <x v="4"/>
    <n v="3"/>
    <n v="67"/>
  </r>
  <r>
    <x v="715"/>
    <x v="0"/>
    <x v="9"/>
    <n v="1"/>
    <n v="43"/>
  </r>
  <r>
    <x v="716"/>
    <x v="1"/>
    <x v="6"/>
    <n v="4"/>
    <n v="40"/>
  </r>
  <r>
    <x v="717"/>
    <x v="0"/>
    <x v="8"/>
    <n v="5"/>
    <n v="28"/>
  </r>
  <r>
    <x v="718"/>
    <x v="0"/>
    <x v="0"/>
    <n v="1"/>
    <n v="21"/>
  </r>
  <r>
    <x v="719"/>
    <x v="0"/>
    <x v="6"/>
    <n v="1"/>
    <n v="19"/>
  </r>
  <r>
    <x v="720"/>
    <x v="1"/>
    <x v="2"/>
    <n v="5"/>
    <n v="21"/>
  </r>
  <r>
    <x v="721"/>
    <x v="1"/>
    <x v="1"/>
    <n v="2"/>
    <n v="17"/>
  </r>
  <r>
    <x v="722"/>
    <x v="0"/>
    <x v="0"/>
    <n v="3"/>
    <n v="26"/>
  </r>
  <r>
    <x v="723"/>
    <x v="1"/>
    <x v="5"/>
    <n v="5"/>
    <n v="62"/>
  </r>
  <r>
    <x v="724"/>
    <x v="0"/>
    <x v="5"/>
    <n v="4"/>
    <n v="69"/>
  </r>
  <r>
    <x v="725"/>
    <x v="1"/>
    <x v="3"/>
    <n v="5"/>
    <n v="22"/>
  </r>
  <r>
    <x v="726"/>
    <x v="1"/>
    <x v="0"/>
    <n v="3"/>
    <n v="22"/>
  </r>
  <r>
    <x v="727"/>
    <x v="0"/>
    <x v="7"/>
    <n v="1"/>
    <n v="60"/>
  </r>
  <r>
    <x v="728"/>
    <x v="1"/>
    <x v="1"/>
    <n v="1"/>
    <n v="57"/>
  </r>
  <r>
    <x v="729"/>
    <x v="1"/>
    <x v="8"/>
    <n v="3"/>
    <n v="68"/>
  </r>
  <r>
    <x v="730"/>
    <x v="1"/>
    <x v="6"/>
    <n v="1"/>
    <n v="39"/>
  </r>
  <r>
    <x v="731"/>
    <x v="0"/>
    <x v="2"/>
    <n v="4"/>
    <n v="31"/>
  </r>
  <r>
    <x v="732"/>
    <x v="0"/>
    <x v="1"/>
    <n v="1"/>
    <n v="58"/>
  </r>
  <r>
    <x v="733"/>
    <x v="0"/>
    <x v="2"/>
    <n v="1"/>
    <n v="20"/>
  </r>
  <r>
    <x v="734"/>
    <x v="1"/>
    <x v="6"/>
    <n v="5"/>
    <n v="60"/>
  </r>
  <r>
    <x v="735"/>
    <x v="0"/>
    <x v="8"/>
    <n v="1"/>
    <n v="50"/>
  </r>
  <r>
    <x v="736"/>
    <x v="0"/>
    <x v="0"/>
    <n v="4"/>
    <n v="38"/>
  </r>
  <r>
    <x v="737"/>
    <x v="1"/>
    <x v="4"/>
    <n v="2"/>
    <n v="32"/>
  </r>
  <r>
    <x v="738"/>
    <x v="0"/>
    <x v="0"/>
    <n v="2"/>
    <n v="29"/>
  </r>
  <r>
    <x v="739"/>
    <x v="0"/>
    <x v="2"/>
    <n v="1"/>
    <n v="34"/>
  </r>
  <r>
    <x v="740"/>
    <x v="0"/>
    <x v="2"/>
    <n v="2"/>
    <n v="61"/>
  </r>
  <r>
    <x v="741"/>
    <x v="1"/>
    <x v="9"/>
    <n v="1"/>
    <n v="39"/>
  </r>
  <r>
    <x v="742"/>
    <x v="0"/>
    <x v="0"/>
    <n v="1"/>
    <n v="32"/>
  </r>
  <r>
    <x v="743"/>
    <x v="1"/>
    <x v="8"/>
    <n v="3"/>
    <n v="54"/>
  </r>
  <r>
    <x v="744"/>
    <x v="1"/>
    <x v="3"/>
    <n v="3"/>
    <n v="59"/>
  </r>
  <r>
    <x v="745"/>
    <x v="0"/>
    <x v="8"/>
    <n v="2"/>
    <n v="65"/>
  </r>
  <r>
    <x v="746"/>
    <x v="0"/>
    <x v="2"/>
    <n v="2"/>
    <n v="18"/>
  </r>
  <r>
    <x v="747"/>
    <x v="0"/>
    <x v="2"/>
    <n v="1"/>
    <n v="32"/>
  </r>
  <r>
    <x v="748"/>
    <x v="0"/>
    <x v="4"/>
    <n v="3"/>
    <n v="68"/>
  </r>
  <r>
    <x v="749"/>
    <x v="1"/>
    <x v="8"/>
    <n v="3"/>
    <n v="30"/>
  </r>
  <r>
    <x v="750"/>
    <x v="0"/>
    <x v="9"/>
    <n v="5"/>
    <n v="36"/>
  </r>
  <r>
    <x v="751"/>
    <x v="1"/>
    <x v="1"/>
    <n v="4"/>
    <n v="43"/>
  </r>
  <r>
    <x v="752"/>
    <x v="1"/>
    <x v="9"/>
    <n v="2"/>
    <n v="52"/>
  </r>
  <r>
    <x v="753"/>
    <x v="0"/>
    <x v="5"/>
    <n v="2"/>
    <n v="43"/>
  </r>
  <r>
    <x v="754"/>
    <x v="1"/>
    <x v="5"/>
    <n v="3"/>
    <n v="58"/>
  </r>
  <r>
    <x v="755"/>
    <x v="1"/>
    <x v="8"/>
    <n v="2"/>
    <n v="55"/>
  </r>
  <r>
    <x v="756"/>
    <x v="0"/>
    <x v="3"/>
    <n v="1"/>
    <n v="49"/>
  </r>
  <r>
    <x v="757"/>
    <x v="1"/>
    <x v="2"/>
    <n v="2"/>
    <n v="21"/>
  </r>
  <r>
    <x v="758"/>
    <x v="0"/>
    <x v="5"/>
    <n v="5"/>
    <n v="32"/>
  </r>
  <r>
    <x v="759"/>
    <x v="0"/>
    <x v="2"/>
    <n v="3"/>
    <n v="60"/>
  </r>
  <r>
    <x v="760"/>
    <x v="1"/>
    <x v="9"/>
    <n v="3"/>
    <n v="28"/>
  </r>
  <r>
    <x v="761"/>
    <x v="1"/>
    <x v="3"/>
    <n v="5"/>
    <n v="39"/>
  </r>
  <r>
    <x v="762"/>
    <x v="1"/>
    <x v="1"/>
    <n v="4"/>
    <n v="51"/>
  </r>
  <r>
    <x v="763"/>
    <x v="1"/>
    <x v="6"/>
    <n v="4"/>
    <n v="66"/>
  </r>
  <r>
    <x v="764"/>
    <x v="0"/>
    <x v="8"/>
    <n v="4"/>
    <n v="33"/>
  </r>
  <r>
    <x v="765"/>
    <x v="1"/>
    <x v="7"/>
    <n v="5"/>
    <n v="61"/>
  </r>
  <r>
    <x v="766"/>
    <x v="1"/>
    <x v="7"/>
    <n v="1"/>
    <n v="24"/>
  </r>
  <r>
    <x v="767"/>
    <x v="1"/>
    <x v="9"/>
    <n v="2"/>
    <n v="68"/>
  </r>
  <r>
    <x v="768"/>
    <x v="0"/>
    <x v="6"/>
    <n v="4"/>
    <n v="60"/>
  </r>
  <r>
    <x v="769"/>
    <x v="0"/>
    <x v="3"/>
    <n v="5"/>
    <n v="43"/>
  </r>
  <r>
    <x v="770"/>
    <x v="0"/>
    <x v="1"/>
    <n v="5"/>
    <n v="18"/>
  </r>
  <r>
    <x v="771"/>
    <x v="0"/>
    <x v="1"/>
    <n v="3"/>
    <n v="23"/>
  </r>
  <r>
    <x v="772"/>
    <x v="0"/>
    <x v="2"/>
    <n v="5"/>
    <n v="68"/>
  </r>
  <r>
    <x v="773"/>
    <x v="1"/>
    <x v="5"/>
    <n v="5"/>
    <n v="69"/>
  </r>
  <r>
    <x v="774"/>
    <x v="1"/>
    <x v="0"/>
    <n v="2"/>
    <n v="34"/>
  </r>
  <r>
    <x v="775"/>
    <x v="1"/>
    <x v="3"/>
    <n v="2"/>
    <n v="30"/>
  </r>
  <r>
    <x v="776"/>
    <x v="1"/>
    <x v="7"/>
    <n v="5"/>
    <n v="53"/>
  </r>
  <r>
    <x v="777"/>
    <x v="0"/>
    <x v="3"/>
    <n v="3"/>
    <n v="50"/>
  </r>
  <r>
    <x v="778"/>
    <x v="0"/>
    <x v="7"/>
    <n v="4"/>
    <n v="23"/>
  </r>
  <r>
    <x v="779"/>
    <x v="0"/>
    <x v="6"/>
    <n v="4"/>
    <n v="41"/>
  </r>
  <r>
    <x v="780"/>
    <x v="1"/>
    <x v="0"/>
    <n v="1"/>
    <n v="48"/>
  </r>
  <r>
    <x v="781"/>
    <x v="1"/>
    <x v="7"/>
    <n v="5"/>
    <n v="34"/>
  </r>
  <r>
    <x v="782"/>
    <x v="0"/>
    <x v="5"/>
    <n v="5"/>
    <n v="35"/>
  </r>
  <r>
    <x v="783"/>
    <x v="1"/>
    <x v="6"/>
    <n v="5"/>
    <n v="35"/>
  </r>
  <r>
    <x v="784"/>
    <x v="0"/>
    <x v="9"/>
    <n v="2"/>
    <n v="64"/>
  </r>
  <r>
    <x v="785"/>
    <x v="1"/>
    <x v="6"/>
    <n v="5"/>
    <n v="66"/>
  </r>
  <r>
    <x v="786"/>
    <x v="1"/>
    <x v="3"/>
    <n v="4"/>
    <n v="16"/>
  </r>
  <r>
    <x v="787"/>
    <x v="0"/>
    <x v="9"/>
    <n v="2"/>
    <n v="36"/>
  </r>
  <r>
    <x v="788"/>
    <x v="1"/>
    <x v="6"/>
    <n v="3"/>
    <n v="28"/>
  </r>
  <r>
    <x v="789"/>
    <x v="0"/>
    <x v="5"/>
    <n v="4"/>
    <n v="27"/>
  </r>
  <r>
    <x v="790"/>
    <x v="1"/>
    <x v="7"/>
    <n v="4"/>
    <n v="59"/>
  </r>
  <r>
    <x v="791"/>
    <x v="0"/>
    <x v="4"/>
    <n v="5"/>
    <n v="22"/>
  </r>
  <r>
    <x v="792"/>
    <x v="0"/>
    <x v="6"/>
    <n v="2"/>
    <n v="19"/>
  </r>
  <r>
    <x v="793"/>
    <x v="0"/>
    <x v="4"/>
    <n v="4"/>
    <n v="64"/>
  </r>
  <r>
    <x v="794"/>
    <x v="1"/>
    <x v="7"/>
    <n v="1"/>
    <n v="51"/>
  </r>
  <r>
    <x v="795"/>
    <x v="0"/>
    <x v="8"/>
    <n v="3"/>
    <n v="20"/>
  </r>
  <r>
    <x v="796"/>
    <x v="1"/>
    <x v="5"/>
    <n v="1"/>
    <n v="17"/>
  </r>
  <r>
    <x v="797"/>
    <x v="1"/>
    <x v="4"/>
    <n v="4"/>
    <n v="58"/>
  </r>
  <r>
    <x v="798"/>
    <x v="0"/>
    <x v="6"/>
    <n v="4"/>
    <n v="20"/>
  </r>
  <r>
    <x v="799"/>
    <x v="0"/>
    <x v="8"/>
    <n v="1"/>
    <n v="20"/>
  </r>
  <r>
    <x v="800"/>
    <x v="1"/>
    <x v="5"/>
    <n v="1"/>
    <n v="18"/>
  </r>
  <r>
    <x v="801"/>
    <x v="0"/>
    <x v="1"/>
    <n v="5"/>
    <n v="44"/>
  </r>
  <r>
    <x v="802"/>
    <x v="1"/>
    <x v="2"/>
    <n v="4"/>
    <n v="60"/>
  </r>
  <r>
    <x v="803"/>
    <x v="0"/>
    <x v="6"/>
    <n v="4"/>
    <n v="68"/>
  </r>
  <r>
    <x v="804"/>
    <x v="1"/>
    <x v="2"/>
    <n v="2"/>
    <n v="33"/>
  </r>
  <r>
    <x v="805"/>
    <x v="0"/>
    <x v="9"/>
    <n v="3"/>
    <n v="17"/>
  </r>
  <r>
    <x v="806"/>
    <x v="0"/>
    <x v="1"/>
    <n v="3"/>
    <n v="61"/>
  </r>
  <r>
    <x v="807"/>
    <x v="1"/>
    <x v="7"/>
    <n v="5"/>
    <n v="44"/>
  </r>
  <r>
    <x v="808"/>
    <x v="1"/>
    <x v="6"/>
    <n v="1"/>
    <n v="26"/>
  </r>
  <r>
    <x v="809"/>
    <x v="0"/>
    <x v="2"/>
    <n v="5"/>
    <n v="19"/>
  </r>
  <r>
    <x v="810"/>
    <x v="0"/>
    <x v="1"/>
    <n v="5"/>
    <n v="49"/>
  </r>
  <r>
    <x v="811"/>
    <x v="0"/>
    <x v="0"/>
    <n v="4"/>
    <n v="69"/>
  </r>
  <r>
    <x v="812"/>
    <x v="0"/>
    <x v="1"/>
    <n v="1"/>
    <n v="60"/>
  </r>
  <r>
    <x v="813"/>
    <x v="1"/>
    <x v="2"/>
    <n v="3"/>
    <n v="60"/>
  </r>
  <r>
    <x v="814"/>
    <x v="1"/>
    <x v="6"/>
    <n v="1"/>
    <n v="37"/>
  </r>
  <r>
    <x v="815"/>
    <x v="0"/>
    <x v="3"/>
    <n v="2"/>
    <n v="44"/>
  </r>
  <r>
    <x v="816"/>
    <x v="1"/>
    <x v="9"/>
    <n v="3"/>
    <n v="18"/>
  </r>
  <r>
    <x v="817"/>
    <x v="1"/>
    <x v="6"/>
    <n v="3"/>
    <n v="17"/>
  </r>
  <r>
    <x v="818"/>
    <x v="0"/>
    <x v="1"/>
    <n v="1"/>
    <n v="44"/>
  </r>
  <r>
    <x v="819"/>
    <x v="1"/>
    <x v="3"/>
    <n v="1"/>
    <n v="60"/>
  </r>
  <r>
    <x v="820"/>
    <x v="1"/>
    <x v="6"/>
    <n v="1"/>
    <n v="24"/>
  </r>
  <r>
    <x v="821"/>
    <x v="0"/>
    <x v="3"/>
    <n v="3"/>
    <n v="45"/>
  </r>
  <r>
    <x v="822"/>
    <x v="1"/>
    <x v="2"/>
    <n v="2"/>
    <n v="19"/>
  </r>
  <r>
    <x v="823"/>
    <x v="0"/>
    <x v="3"/>
    <n v="5"/>
    <n v="28"/>
  </r>
  <r>
    <x v="824"/>
    <x v="1"/>
    <x v="7"/>
    <n v="4"/>
    <n v="60"/>
  </r>
  <r>
    <x v="825"/>
    <x v="1"/>
    <x v="3"/>
    <n v="2"/>
    <n v="40"/>
  </r>
  <r>
    <x v="826"/>
    <x v="1"/>
    <x v="5"/>
    <n v="1"/>
    <n v="32"/>
  </r>
  <r>
    <x v="827"/>
    <x v="0"/>
    <x v="9"/>
    <n v="3"/>
    <n v="49"/>
  </r>
  <r>
    <x v="828"/>
    <x v="1"/>
    <x v="1"/>
    <n v="3"/>
    <n v="61"/>
  </r>
  <r>
    <x v="829"/>
    <x v="1"/>
    <x v="8"/>
    <n v="4"/>
    <n v="45"/>
  </r>
  <r>
    <x v="830"/>
    <x v="0"/>
    <x v="8"/>
    <n v="1"/>
    <n v="64"/>
  </r>
  <r>
    <x v="831"/>
    <x v="1"/>
    <x v="8"/>
    <n v="1"/>
    <n v="62"/>
  </r>
  <r>
    <x v="832"/>
    <x v="0"/>
    <x v="5"/>
    <n v="2"/>
    <n v="43"/>
  </r>
  <r>
    <x v="833"/>
    <x v="1"/>
    <x v="5"/>
    <n v="3"/>
    <n v="26"/>
  </r>
  <r>
    <x v="834"/>
    <x v="1"/>
    <x v="1"/>
    <n v="4"/>
    <n v="21"/>
  </r>
  <r>
    <x v="835"/>
    <x v="1"/>
    <x v="7"/>
    <n v="3"/>
    <n v="26"/>
  </r>
  <r>
    <x v="836"/>
    <x v="1"/>
    <x v="7"/>
    <n v="3"/>
    <n v="63"/>
  </r>
  <r>
    <x v="837"/>
    <x v="1"/>
    <x v="1"/>
    <n v="3"/>
    <n v="37"/>
  </r>
  <r>
    <x v="838"/>
    <x v="0"/>
    <x v="7"/>
    <n v="4"/>
    <n v="54"/>
  </r>
  <r>
    <x v="839"/>
    <x v="1"/>
    <x v="7"/>
    <n v="3"/>
    <n v="36"/>
  </r>
  <r>
    <x v="840"/>
    <x v="0"/>
    <x v="9"/>
    <n v="1"/>
    <n v="21"/>
  </r>
  <r>
    <x v="841"/>
    <x v="0"/>
    <x v="0"/>
    <n v="5"/>
    <n v="45"/>
  </r>
  <r>
    <x v="842"/>
    <x v="0"/>
    <x v="0"/>
    <n v="1"/>
    <n v="21"/>
  </r>
  <r>
    <x v="843"/>
    <x v="0"/>
    <x v="4"/>
    <n v="2"/>
    <n v="31"/>
  </r>
  <r>
    <x v="844"/>
    <x v="0"/>
    <x v="5"/>
    <n v="2"/>
    <n v="48"/>
  </r>
  <r>
    <x v="845"/>
    <x v="1"/>
    <x v="4"/>
    <n v="2"/>
    <n v="36"/>
  </r>
  <r>
    <x v="846"/>
    <x v="0"/>
    <x v="7"/>
    <n v="2"/>
    <n v="20"/>
  </r>
  <r>
    <x v="847"/>
    <x v="1"/>
    <x v="8"/>
    <n v="4"/>
    <n v="23"/>
  </r>
  <r>
    <x v="848"/>
    <x v="1"/>
    <x v="0"/>
    <n v="4"/>
    <n v="19"/>
  </r>
  <r>
    <x v="849"/>
    <x v="1"/>
    <x v="7"/>
    <n v="5"/>
    <n v="62"/>
  </r>
  <r>
    <x v="850"/>
    <x v="1"/>
    <x v="8"/>
    <n v="5"/>
    <n v="42"/>
  </r>
  <r>
    <x v="851"/>
    <x v="1"/>
    <x v="7"/>
    <n v="4"/>
    <n v="35"/>
  </r>
  <r>
    <x v="852"/>
    <x v="0"/>
    <x v="7"/>
    <n v="2"/>
    <n v="62"/>
  </r>
  <r>
    <x v="853"/>
    <x v="0"/>
    <x v="3"/>
    <n v="2"/>
    <n v="52"/>
  </r>
  <r>
    <x v="854"/>
    <x v="1"/>
    <x v="2"/>
    <n v="4"/>
    <n v="18"/>
  </r>
  <r>
    <x v="855"/>
    <x v="1"/>
    <x v="4"/>
    <n v="1"/>
    <n v="37"/>
  </r>
  <r>
    <x v="856"/>
    <x v="1"/>
    <x v="3"/>
    <n v="3"/>
    <n v="24"/>
  </r>
  <r>
    <x v="857"/>
    <x v="0"/>
    <x v="1"/>
    <n v="4"/>
    <n v="48"/>
  </r>
  <r>
    <x v="858"/>
    <x v="1"/>
    <x v="9"/>
    <n v="5"/>
    <n v="68"/>
  </r>
  <r>
    <x v="859"/>
    <x v="1"/>
    <x v="9"/>
    <n v="5"/>
    <n v="31"/>
  </r>
  <r>
    <x v="860"/>
    <x v="1"/>
    <x v="6"/>
    <n v="3"/>
    <n v="47"/>
  </r>
  <r>
    <x v="861"/>
    <x v="0"/>
    <x v="1"/>
    <n v="3"/>
    <n v="51"/>
  </r>
  <r>
    <x v="862"/>
    <x v="0"/>
    <x v="6"/>
    <n v="1"/>
    <n v="23"/>
  </r>
  <r>
    <x v="863"/>
    <x v="1"/>
    <x v="1"/>
    <n v="2"/>
    <n v="30"/>
  </r>
  <r>
    <x v="864"/>
    <x v="0"/>
    <x v="9"/>
    <n v="1"/>
    <n v="28"/>
  </r>
  <r>
    <x v="865"/>
    <x v="1"/>
    <x v="4"/>
    <n v="1"/>
    <n v="26"/>
  </r>
  <r>
    <x v="866"/>
    <x v="1"/>
    <x v="0"/>
    <n v="4"/>
    <n v="45"/>
  </r>
  <r>
    <x v="867"/>
    <x v="0"/>
    <x v="1"/>
    <n v="2"/>
    <n v="70"/>
  </r>
  <r>
    <x v="868"/>
    <x v="0"/>
    <x v="8"/>
    <n v="3"/>
    <n v="32"/>
  </r>
  <r>
    <x v="869"/>
    <x v="0"/>
    <x v="0"/>
    <n v="5"/>
    <n v="26"/>
  </r>
  <r>
    <x v="870"/>
    <x v="0"/>
    <x v="9"/>
    <n v="5"/>
    <n v="30"/>
  </r>
  <r>
    <x v="871"/>
    <x v="0"/>
    <x v="5"/>
    <n v="2"/>
    <n v="32"/>
  </r>
  <r>
    <x v="872"/>
    <x v="1"/>
    <x v="6"/>
    <n v="4"/>
    <n v="51"/>
  </r>
  <r>
    <x v="873"/>
    <x v="0"/>
    <x v="8"/>
    <n v="1"/>
    <n v="57"/>
  </r>
  <r>
    <x v="874"/>
    <x v="1"/>
    <x v="6"/>
    <n v="5"/>
    <n v="64"/>
  </r>
  <r>
    <x v="875"/>
    <x v="0"/>
    <x v="2"/>
    <n v="1"/>
    <n v="49"/>
  </r>
  <r>
    <x v="876"/>
    <x v="0"/>
    <x v="3"/>
    <n v="2"/>
    <n v="45"/>
  </r>
  <r>
    <x v="877"/>
    <x v="0"/>
    <x v="8"/>
    <n v="5"/>
    <n v="28"/>
  </r>
  <r>
    <x v="878"/>
    <x v="0"/>
    <x v="2"/>
    <n v="2"/>
    <n v="66"/>
  </r>
  <r>
    <x v="879"/>
    <x v="0"/>
    <x v="2"/>
    <n v="1"/>
    <n v="69"/>
  </r>
  <r>
    <x v="880"/>
    <x v="0"/>
    <x v="6"/>
    <n v="3"/>
    <n v="37"/>
  </r>
  <r>
    <x v="881"/>
    <x v="0"/>
    <x v="3"/>
    <n v="3"/>
    <n v="58"/>
  </r>
  <r>
    <x v="882"/>
    <x v="1"/>
    <x v="9"/>
    <n v="1"/>
    <n v="53"/>
  </r>
  <r>
    <x v="883"/>
    <x v="1"/>
    <x v="1"/>
    <n v="2"/>
    <n v="34"/>
  </r>
  <r>
    <x v="884"/>
    <x v="1"/>
    <x v="2"/>
    <n v="2"/>
    <n v="64"/>
  </r>
  <r>
    <x v="885"/>
    <x v="1"/>
    <x v="9"/>
    <n v="4"/>
    <n v="31"/>
  </r>
  <r>
    <x v="886"/>
    <x v="0"/>
    <x v="7"/>
    <n v="1"/>
    <n v="32"/>
  </r>
  <r>
    <x v="887"/>
    <x v="0"/>
    <x v="1"/>
    <n v="1"/>
    <n v="65"/>
  </r>
  <r>
    <x v="888"/>
    <x v="1"/>
    <x v="7"/>
    <n v="4"/>
    <n v="46"/>
  </r>
  <r>
    <x v="889"/>
    <x v="0"/>
    <x v="6"/>
    <n v="2"/>
    <n v="22"/>
  </r>
  <r>
    <x v="890"/>
    <x v="0"/>
    <x v="7"/>
    <n v="3"/>
    <n v="42"/>
  </r>
  <r>
    <x v="891"/>
    <x v="1"/>
    <x v="3"/>
    <n v="1"/>
    <n v="24"/>
  </r>
  <r>
    <x v="892"/>
    <x v="1"/>
    <x v="6"/>
    <n v="3"/>
    <n v="34"/>
  </r>
  <r>
    <x v="893"/>
    <x v="1"/>
    <x v="0"/>
    <n v="5"/>
    <n v="46"/>
  </r>
  <r>
    <x v="894"/>
    <x v="1"/>
    <x v="4"/>
    <n v="1"/>
    <n v="30"/>
  </r>
  <r>
    <x v="895"/>
    <x v="1"/>
    <x v="3"/>
    <n v="2"/>
    <n v="22"/>
  </r>
  <r>
    <x v="896"/>
    <x v="1"/>
    <x v="9"/>
    <n v="3"/>
    <n v="44"/>
  </r>
  <r>
    <x v="897"/>
    <x v="1"/>
    <x v="4"/>
    <n v="1"/>
    <n v="51"/>
  </r>
  <r>
    <x v="898"/>
    <x v="1"/>
    <x v="1"/>
    <n v="3"/>
    <n v="56"/>
  </r>
  <r>
    <x v="899"/>
    <x v="1"/>
    <x v="0"/>
    <n v="1"/>
    <n v="59"/>
  </r>
  <r>
    <x v="900"/>
    <x v="0"/>
    <x v="9"/>
    <n v="1"/>
    <n v="47"/>
  </r>
  <r>
    <x v="901"/>
    <x v="1"/>
    <x v="7"/>
    <n v="3"/>
    <n v="48"/>
  </r>
  <r>
    <x v="902"/>
    <x v="0"/>
    <x v="6"/>
    <n v="2"/>
    <n v="59"/>
  </r>
  <r>
    <x v="903"/>
    <x v="0"/>
    <x v="5"/>
    <n v="3"/>
    <n v="41"/>
  </r>
  <r>
    <x v="904"/>
    <x v="0"/>
    <x v="9"/>
    <n v="3"/>
    <n v="31"/>
  </r>
  <r>
    <x v="905"/>
    <x v="1"/>
    <x v="1"/>
    <n v="1"/>
    <n v="17"/>
  </r>
  <r>
    <x v="906"/>
    <x v="0"/>
    <x v="3"/>
    <n v="2"/>
    <n v="50"/>
  </r>
  <r>
    <x v="907"/>
    <x v="0"/>
    <x v="2"/>
    <n v="5"/>
    <n v="19"/>
  </r>
  <r>
    <x v="908"/>
    <x v="0"/>
    <x v="0"/>
    <n v="5"/>
    <n v="43"/>
  </r>
  <r>
    <x v="909"/>
    <x v="1"/>
    <x v="6"/>
    <n v="3"/>
    <n v="17"/>
  </r>
  <r>
    <x v="910"/>
    <x v="0"/>
    <x v="8"/>
    <n v="4"/>
    <n v="34"/>
  </r>
  <r>
    <x v="911"/>
    <x v="1"/>
    <x v="0"/>
    <n v="1"/>
    <n v="51"/>
  </r>
  <r>
    <x v="912"/>
    <x v="0"/>
    <x v="0"/>
    <n v="4"/>
    <n v="22"/>
  </r>
  <r>
    <x v="913"/>
    <x v="1"/>
    <x v="5"/>
    <n v="2"/>
    <n v="42"/>
  </r>
  <r>
    <x v="914"/>
    <x v="0"/>
    <x v="2"/>
    <n v="1"/>
    <n v="50"/>
  </r>
  <r>
    <x v="915"/>
    <x v="1"/>
    <x v="9"/>
    <n v="1"/>
    <n v="54"/>
  </r>
  <r>
    <x v="916"/>
    <x v="0"/>
    <x v="9"/>
    <n v="1"/>
    <n v="15"/>
  </r>
  <r>
    <x v="917"/>
    <x v="1"/>
    <x v="9"/>
    <n v="3"/>
    <n v="66"/>
  </r>
  <r>
    <x v="918"/>
    <x v="1"/>
    <x v="7"/>
    <n v="1"/>
    <n v="20"/>
  </r>
  <r>
    <x v="919"/>
    <x v="0"/>
    <x v="0"/>
    <n v="5"/>
    <n v="67"/>
  </r>
  <r>
    <x v="920"/>
    <x v="0"/>
    <x v="4"/>
    <n v="1"/>
    <n v="53"/>
  </r>
  <r>
    <x v="921"/>
    <x v="1"/>
    <x v="9"/>
    <n v="4"/>
    <n v="34"/>
  </r>
  <r>
    <x v="922"/>
    <x v="0"/>
    <x v="3"/>
    <n v="4"/>
    <n v="56"/>
  </r>
  <r>
    <x v="923"/>
    <x v="0"/>
    <x v="0"/>
    <n v="5"/>
    <n v="46"/>
  </r>
  <r>
    <x v="924"/>
    <x v="0"/>
    <x v="7"/>
    <n v="5"/>
    <n v="54"/>
  </r>
  <r>
    <x v="925"/>
    <x v="0"/>
    <x v="3"/>
    <n v="1"/>
    <n v="24"/>
  </r>
  <r>
    <x v="926"/>
    <x v="0"/>
    <x v="5"/>
    <n v="3"/>
    <n v="62"/>
  </r>
  <r>
    <x v="927"/>
    <x v="0"/>
    <x v="6"/>
    <n v="1"/>
    <n v="24"/>
  </r>
  <r>
    <x v="928"/>
    <x v="1"/>
    <x v="8"/>
    <n v="5"/>
    <n v="36"/>
  </r>
  <r>
    <x v="929"/>
    <x v="0"/>
    <x v="5"/>
    <n v="4"/>
    <n v="68"/>
  </r>
  <r>
    <x v="930"/>
    <x v="1"/>
    <x v="4"/>
    <n v="2"/>
    <n v="51"/>
  </r>
  <r>
    <x v="931"/>
    <x v="0"/>
    <x v="3"/>
    <n v="4"/>
    <n v="18"/>
  </r>
  <r>
    <x v="932"/>
    <x v="0"/>
    <x v="1"/>
    <n v="1"/>
    <n v="28"/>
  </r>
  <r>
    <x v="933"/>
    <x v="1"/>
    <x v="1"/>
    <n v="4"/>
    <n v="31"/>
  </r>
  <r>
    <x v="934"/>
    <x v="1"/>
    <x v="3"/>
    <n v="4"/>
    <n v="37"/>
  </r>
  <r>
    <x v="935"/>
    <x v="0"/>
    <x v="6"/>
    <n v="2"/>
    <n v="33"/>
  </r>
  <r>
    <x v="936"/>
    <x v="1"/>
    <x v="1"/>
    <n v="3"/>
    <n v="34"/>
  </r>
  <r>
    <x v="937"/>
    <x v="1"/>
    <x v="1"/>
    <n v="2"/>
    <n v="60"/>
  </r>
  <r>
    <x v="938"/>
    <x v="1"/>
    <x v="4"/>
    <n v="3"/>
    <n v="38"/>
  </r>
  <r>
    <x v="939"/>
    <x v="1"/>
    <x v="1"/>
    <n v="5"/>
    <n v="46"/>
  </r>
  <r>
    <x v="940"/>
    <x v="0"/>
    <x v="3"/>
    <n v="5"/>
    <n v="35"/>
  </r>
  <r>
    <x v="941"/>
    <x v="1"/>
    <x v="4"/>
    <n v="3"/>
    <n v="45"/>
  </r>
  <r>
    <x v="942"/>
    <x v="1"/>
    <x v="1"/>
    <n v="5"/>
    <n v="37"/>
  </r>
  <r>
    <x v="943"/>
    <x v="1"/>
    <x v="4"/>
    <n v="2"/>
    <n v="58"/>
  </r>
  <r>
    <x v="944"/>
    <x v="0"/>
    <x v="6"/>
    <n v="1"/>
    <n v="64"/>
  </r>
  <r>
    <x v="945"/>
    <x v="0"/>
    <x v="4"/>
    <n v="5"/>
    <n v="37"/>
  </r>
  <r>
    <x v="946"/>
    <x v="0"/>
    <x v="1"/>
    <n v="4"/>
    <n v="42"/>
  </r>
  <r>
    <x v="947"/>
    <x v="1"/>
    <x v="1"/>
    <n v="1"/>
    <n v="49"/>
  </r>
  <r>
    <x v="948"/>
    <x v="0"/>
    <x v="2"/>
    <n v="3"/>
    <n v="63"/>
  </r>
  <r>
    <x v="949"/>
    <x v="0"/>
    <x v="0"/>
    <n v="4"/>
    <n v="63"/>
  </r>
  <r>
    <x v="950"/>
    <x v="1"/>
    <x v="1"/>
    <n v="3"/>
    <n v="26"/>
  </r>
  <r>
    <x v="951"/>
    <x v="1"/>
    <x v="2"/>
    <n v="3"/>
    <n v="49"/>
  </r>
  <r>
    <x v="952"/>
    <x v="1"/>
    <x v="1"/>
    <n v="2"/>
    <n v="29"/>
  </r>
  <r>
    <x v="953"/>
    <x v="1"/>
    <x v="2"/>
    <n v="3"/>
    <n v="35"/>
  </r>
  <r>
    <x v="954"/>
    <x v="1"/>
    <x v="8"/>
    <n v="3"/>
    <n v="39"/>
  </r>
  <r>
    <x v="955"/>
    <x v="0"/>
    <x v="8"/>
    <n v="5"/>
    <n v="30"/>
  </r>
  <r>
    <x v="956"/>
    <x v="0"/>
    <x v="6"/>
    <n v="4"/>
    <n v="52"/>
  </r>
  <r>
    <x v="957"/>
    <x v="0"/>
    <x v="4"/>
    <n v="1"/>
    <n v="64"/>
  </r>
  <r>
    <x v="958"/>
    <x v="0"/>
    <x v="1"/>
    <n v="3"/>
    <n v="48"/>
  </r>
  <r>
    <x v="959"/>
    <x v="0"/>
    <x v="6"/>
    <n v="3"/>
    <n v="23"/>
  </r>
  <r>
    <x v="960"/>
    <x v="1"/>
    <x v="8"/>
    <n v="5"/>
    <n v="61"/>
  </r>
  <r>
    <x v="961"/>
    <x v="0"/>
    <x v="5"/>
    <n v="2"/>
    <n v="70"/>
  </r>
  <r>
    <x v="962"/>
    <x v="1"/>
    <x v="4"/>
    <n v="2"/>
    <n v="58"/>
  </r>
  <r>
    <x v="963"/>
    <x v="0"/>
    <x v="4"/>
    <n v="1"/>
    <n v="24"/>
  </r>
  <r>
    <x v="964"/>
    <x v="0"/>
    <x v="6"/>
    <n v="4"/>
    <n v="16"/>
  </r>
  <r>
    <x v="965"/>
    <x v="0"/>
    <x v="7"/>
    <n v="2"/>
    <n v="61"/>
  </r>
  <r>
    <x v="966"/>
    <x v="0"/>
    <x v="7"/>
    <n v="1"/>
    <n v="43"/>
  </r>
  <r>
    <x v="967"/>
    <x v="1"/>
    <x v="4"/>
    <n v="3"/>
    <n v="18"/>
  </r>
  <r>
    <x v="968"/>
    <x v="0"/>
    <x v="7"/>
    <n v="5"/>
    <n v="61"/>
  </r>
  <r>
    <x v="969"/>
    <x v="0"/>
    <x v="4"/>
    <n v="2"/>
    <n v="26"/>
  </r>
  <r>
    <x v="970"/>
    <x v="1"/>
    <x v="8"/>
    <n v="5"/>
    <n v="43"/>
  </r>
  <r>
    <x v="971"/>
    <x v="1"/>
    <x v="4"/>
    <n v="5"/>
    <n v="67"/>
  </r>
  <r>
    <x v="972"/>
    <x v="0"/>
    <x v="0"/>
    <n v="3"/>
    <n v="30"/>
  </r>
  <r>
    <x v="973"/>
    <x v="0"/>
    <x v="5"/>
    <n v="3"/>
    <n v="27"/>
  </r>
  <r>
    <x v="974"/>
    <x v="0"/>
    <x v="3"/>
    <n v="4"/>
    <n v="35"/>
  </r>
  <r>
    <x v="975"/>
    <x v="0"/>
    <x v="9"/>
    <n v="3"/>
    <n v="34"/>
  </r>
  <r>
    <x v="976"/>
    <x v="0"/>
    <x v="4"/>
    <n v="5"/>
    <n v="25"/>
  </r>
  <r>
    <x v="977"/>
    <x v="0"/>
    <x v="6"/>
    <n v="1"/>
    <n v="54"/>
  </r>
  <r>
    <x v="978"/>
    <x v="1"/>
    <x v="4"/>
    <n v="2"/>
    <n v="34"/>
  </r>
  <r>
    <x v="979"/>
    <x v="1"/>
    <x v="5"/>
    <n v="2"/>
    <n v="49"/>
  </r>
  <r>
    <x v="980"/>
    <x v="1"/>
    <x v="4"/>
    <n v="2"/>
    <n v="31"/>
  </r>
  <r>
    <x v="981"/>
    <x v="0"/>
    <x v="9"/>
    <n v="1"/>
    <n v="15"/>
  </r>
  <r>
    <x v="982"/>
    <x v="0"/>
    <x v="5"/>
    <n v="5"/>
    <n v="53"/>
  </r>
  <r>
    <x v="983"/>
    <x v="0"/>
    <x v="0"/>
    <n v="1"/>
    <n v="58"/>
  </r>
  <r>
    <x v="984"/>
    <x v="0"/>
    <x v="3"/>
    <n v="3"/>
    <n v="18"/>
  </r>
  <r>
    <x v="985"/>
    <x v="1"/>
    <x v="9"/>
    <n v="2"/>
    <n v="59"/>
  </r>
  <r>
    <x v="986"/>
    <x v="1"/>
    <x v="5"/>
    <n v="1"/>
    <n v="53"/>
  </r>
  <r>
    <x v="987"/>
    <x v="1"/>
    <x v="5"/>
    <n v="1"/>
    <n v="17"/>
  </r>
  <r>
    <x v="988"/>
    <x v="0"/>
    <x v="0"/>
    <n v="2"/>
    <n v="30"/>
  </r>
  <r>
    <x v="989"/>
    <x v="1"/>
    <x v="1"/>
    <n v="5"/>
    <n v="43"/>
  </r>
  <r>
    <x v="990"/>
    <x v="1"/>
    <x v="8"/>
    <n v="1"/>
    <n v="33"/>
  </r>
  <r>
    <x v="991"/>
    <x v="0"/>
    <x v="3"/>
    <n v="3"/>
    <n v="30"/>
  </r>
  <r>
    <x v="992"/>
    <x v="0"/>
    <x v="7"/>
    <n v="5"/>
    <n v="68"/>
  </r>
  <r>
    <x v="993"/>
    <x v="0"/>
    <x v="6"/>
    <n v="3"/>
    <n v="63"/>
  </r>
  <r>
    <x v="994"/>
    <x v="1"/>
    <x v="0"/>
    <n v="2"/>
    <n v="65"/>
  </r>
  <r>
    <x v="995"/>
    <x v="0"/>
    <x v="2"/>
    <n v="3"/>
    <n v="41"/>
  </r>
  <r>
    <x v="996"/>
    <x v="0"/>
    <x v="6"/>
    <n v="1"/>
    <n v="68"/>
  </r>
  <r>
    <x v="997"/>
    <x v="0"/>
    <x v="1"/>
    <n v="3"/>
    <n v="23"/>
  </r>
  <r>
    <x v="998"/>
    <x v="0"/>
    <x v="5"/>
    <n v="1"/>
    <n v="60"/>
  </r>
  <r>
    <x v="999"/>
    <x v="0"/>
    <x v="0"/>
    <n v="3"/>
    <n v="33"/>
  </r>
  <r>
    <x v="1000"/>
    <x v="0"/>
    <x v="1"/>
    <n v="1"/>
    <n v="50"/>
  </r>
  <r>
    <x v="1001"/>
    <x v="0"/>
    <x v="6"/>
    <n v="5"/>
    <n v="51"/>
  </r>
  <r>
    <x v="1002"/>
    <x v="1"/>
    <x v="6"/>
    <n v="1"/>
    <n v="69"/>
  </r>
  <r>
    <x v="1003"/>
    <x v="0"/>
    <x v="2"/>
    <n v="4"/>
    <n v="42"/>
  </r>
  <r>
    <x v="1004"/>
    <x v="0"/>
    <x v="1"/>
    <n v="2"/>
    <n v="23"/>
  </r>
  <r>
    <x v="1005"/>
    <x v="0"/>
    <x v="0"/>
    <n v="4"/>
    <n v="20"/>
  </r>
  <r>
    <x v="1006"/>
    <x v="1"/>
    <x v="5"/>
    <n v="5"/>
    <n v="22"/>
  </r>
  <r>
    <x v="1007"/>
    <x v="0"/>
    <x v="0"/>
    <n v="1"/>
    <n v="40"/>
  </r>
  <r>
    <x v="1008"/>
    <x v="0"/>
    <x v="5"/>
    <n v="2"/>
    <n v="33"/>
  </r>
  <r>
    <x v="1009"/>
    <x v="0"/>
    <x v="1"/>
    <n v="3"/>
    <n v="53"/>
  </r>
  <r>
    <x v="1010"/>
    <x v="1"/>
    <x v="9"/>
    <n v="5"/>
    <n v="23"/>
  </r>
  <r>
    <x v="1011"/>
    <x v="0"/>
    <x v="9"/>
    <n v="2"/>
    <n v="15"/>
  </r>
  <r>
    <x v="1012"/>
    <x v="1"/>
    <x v="4"/>
    <n v="5"/>
    <n v="20"/>
  </r>
  <r>
    <x v="1013"/>
    <x v="1"/>
    <x v="5"/>
    <n v="3"/>
    <n v="50"/>
  </r>
  <r>
    <x v="1014"/>
    <x v="0"/>
    <x v="6"/>
    <n v="5"/>
    <n v="47"/>
  </r>
  <r>
    <x v="1015"/>
    <x v="1"/>
    <x v="2"/>
    <n v="2"/>
    <n v="34"/>
  </r>
  <r>
    <x v="1016"/>
    <x v="1"/>
    <x v="2"/>
    <n v="2"/>
    <n v="27"/>
  </r>
  <r>
    <x v="1017"/>
    <x v="0"/>
    <x v="0"/>
    <n v="1"/>
    <n v="67"/>
  </r>
  <r>
    <x v="1018"/>
    <x v="1"/>
    <x v="3"/>
    <n v="2"/>
    <n v="31"/>
  </r>
  <r>
    <x v="1019"/>
    <x v="1"/>
    <x v="8"/>
    <n v="2"/>
    <n v="44"/>
  </r>
  <r>
    <x v="1020"/>
    <x v="1"/>
    <x v="1"/>
    <n v="1"/>
    <n v="64"/>
  </r>
  <r>
    <x v="1021"/>
    <x v="0"/>
    <x v="6"/>
    <n v="5"/>
    <n v="35"/>
  </r>
  <r>
    <x v="1022"/>
    <x v="0"/>
    <x v="5"/>
    <n v="3"/>
    <n v="49"/>
  </r>
  <r>
    <x v="1023"/>
    <x v="1"/>
    <x v="1"/>
    <n v="1"/>
    <n v="33"/>
  </r>
  <r>
    <x v="1024"/>
    <x v="1"/>
    <x v="3"/>
    <n v="2"/>
    <n v="42"/>
  </r>
  <r>
    <x v="1025"/>
    <x v="0"/>
    <x v="4"/>
    <n v="3"/>
    <n v="53"/>
  </r>
  <r>
    <x v="1026"/>
    <x v="0"/>
    <x v="5"/>
    <n v="2"/>
    <n v="59"/>
  </r>
  <r>
    <x v="1027"/>
    <x v="1"/>
    <x v="3"/>
    <n v="1"/>
    <n v="33"/>
  </r>
  <r>
    <x v="1028"/>
    <x v="1"/>
    <x v="8"/>
    <n v="2"/>
    <n v="63"/>
  </r>
  <r>
    <x v="1029"/>
    <x v="0"/>
    <x v="5"/>
    <n v="2"/>
    <n v="21"/>
  </r>
  <r>
    <x v="1030"/>
    <x v="1"/>
    <x v="3"/>
    <n v="1"/>
    <n v="61"/>
  </r>
  <r>
    <x v="1031"/>
    <x v="1"/>
    <x v="3"/>
    <n v="3"/>
    <n v="61"/>
  </r>
  <r>
    <x v="1032"/>
    <x v="0"/>
    <x v="5"/>
    <n v="5"/>
    <n v="45"/>
  </r>
  <r>
    <x v="1033"/>
    <x v="1"/>
    <x v="0"/>
    <n v="1"/>
    <n v="50"/>
  </r>
  <r>
    <x v="1034"/>
    <x v="1"/>
    <x v="1"/>
    <n v="1"/>
    <n v="49"/>
  </r>
  <r>
    <x v="1035"/>
    <x v="1"/>
    <x v="7"/>
    <n v="5"/>
    <n v="27"/>
  </r>
  <r>
    <x v="1036"/>
    <x v="1"/>
    <x v="8"/>
    <n v="3"/>
    <n v="39"/>
  </r>
  <r>
    <x v="1037"/>
    <x v="1"/>
    <x v="8"/>
    <n v="2"/>
    <n v="43"/>
  </r>
  <r>
    <x v="1038"/>
    <x v="0"/>
    <x v="4"/>
    <n v="3"/>
    <n v="56"/>
  </r>
  <r>
    <x v="1039"/>
    <x v="1"/>
    <x v="2"/>
    <n v="5"/>
    <n v="36"/>
  </r>
  <r>
    <x v="1040"/>
    <x v="1"/>
    <x v="3"/>
    <n v="4"/>
    <n v="50"/>
  </r>
  <r>
    <x v="1041"/>
    <x v="0"/>
    <x v="6"/>
    <n v="1"/>
    <n v="57"/>
  </r>
  <r>
    <x v="1042"/>
    <x v="0"/>
    <x v="0"/>
    <n v="1"/>
    <n v="68"/>
  </r>
  <r>
    <x v="1043"/>
    <x v="1"/>
    <x v="8"/>
    <n v="5"/>
    <n v="28"/>
  </r>
  <r>
    <x v="1044"/>
    <x v="0"/>
    <x v="9"/>
    <n v="4"/>
    <n v="67"/>
  </r>
  <r>
    <x v="1045"/>
    <x v="0"/>
    <x v="8"/>
    <n v="2"/>
    <n v="61"/>
  </r>
  <r>
    <x v="1046"/>
    <x v="0"/>
    <x v="2"/>
    <n v="5"/>
    <n v="51"/>
  </r>
  <r>
    <x v="1047"/>
    <x v="1"/>
    <x v="4"/>
    <n v="5"/>
    <n v="20"/>
  </r>
  <r>
    <x v="1048"/>
    <x v="0"/>
    <x v="0"/>
    <n v="2"/>
    <n v="41"/>
  </r>
  <r>
    <x v="1049"/>
    <x v="1"/>
    <x v="6"/>
    <n v="5"/>
    <n v="62"/>
  </r>
  <r>
    <x v="1050"/>
    <x v="1"/>
    <x v="1"/>
    <n v="5"/>
    <n v="15"/>
  </r>
  <r>
    <x v="1051"/>
    <x v="1"/>
    <x v="5"/>
    <n v="1"/>
    <n v="17"/>
  </r>
  <r>
    <x v="1052"/>
    <x v="1"/>
    <x v="7"/>
    <n v="3"/>
    <n v="52"/>
  </r>
  <r>
    <x v="1053"/>
    <x v="0"/>
    <x v="5"/>
    <n v="3"/>
    <n v="25"/>
  </r>
  <r>
    <x v="1054"/>
    <x v="0"/>
    <x v="6"/>
    <n v="3"/>
    <n v="52"/>
  </r>
  <r>
    <x v="1055"/>
    <x v="0"/>
    <x v="5"/>
    <n v="3"/>
    <n v="38"/>
  </r>
  <r>
    <x v="1056"/>
    <x v="1"/>
    <x v="6"/>
    <n v="3"/>
    <n v="51"/>
  </r>
  <r>
    <x v="1057"/>
    <x v="0"/>
    <x v="9"/>
    <n v="4"/>
    <n v="65"/>
  </r>
  <r>
    <x v="1058"/>
    <x v="1"/>
    <x v="2"/>
    <n v="2"/>
    <n v="34"/>
  </r>
  <r>
    <x v="1059"/>
    <x v="1"/>
    <x v="9"/>
    <n v="3"/>
    <n v="44"/>
  </r>
  <r>
    <x v="1060"/>
    <x v="0"/>
    <x v="2"/>
    <n v="1"/>
    <n v="21"/>
  </r>
  <r>
    <x v="1061"/>
    <x v="0"/>
    <x v="3"/>
    <n v="5"/>
    <n v="61"/>
  </r>
  <r>
    <x v="1062"/>
    <x v="1"/>
    <x v="3"/>
    <n v="5"/>
    <n v="32"/>
  </r>
  <r>
    <x v="1063"/>
    <x v="0"/>
    <x v="6"/>
    <n v="2"/>
    <n v="67"/>
  </r>
  <r>
    <x v="1064"/>
    <x v="0"/>
    <x v="4"/>
    <n v="2"/>
    <n v="33"/>
  </r>
  <r>
    <x v="1065"/>
    <x v="1"/>
    <x v="5"/>
    <n v="3"/>
    <n v="42"/>
  </r>
  <r>
    <x v="1066"/>
    <x v="0"/>
    <x v="9"/>
    <n v="4"/>
    <n v="28"/>
  </r>
  <r>
    <x v="1067"/>
    <x v="1"/>
    <x v="0"/>
    <n v="3"/>
    <n v="51"/>
  </r>
  <r>
    <x v="1068"/>
    <x v="0"/>
    <x v="4"/>
    <n v="3"/>
    <n v="26"/>
  </r>
  <r>
    <x v="1069"/>
    <x v="0"/>
    <x v="0"/>
    <n v="2"/>
    <n v="42"/>
  </r>
  <r>
    <x v="1070"/>
    <x v="1"/>
    <x v="1"/>
    <n v="5"/>
    <n v="21"/>
  </r>
  <r>
    <x v="1071"/>
    <x v="0"/>
    <x v="0"/>
    <n v="5"/>
    <n v="53"/>
  </r>
  <r>
    <x v="1072"/>
    <x v="0"/>
    <x v="4"/>
    <n v="1"/>
    <n v="20"/>
  </r>
  <r>
    <x v="1073"/>
    <x v="1"/>
    <x v="3"/>
    <n v="4"/>
    <n v="55"/>
  </r>
  <r>
    <x v="1074"/>
    <x v="0"/>
    <x v="5"/>
    <n v="5"/>
    <n v="62"/>
  </r>
  <r>
    <x v="1075"/>
    <x v="1"/>
    <x v="6"/>
    <n v="4"/>
    <n v="49"/>
  </r>
  <r>
    <x v="1076"/>
    <x v="0"/>
    <x v="6"/>
    <n v="3"/>
    <n v="63"/>
  </r>
  <r>
    <x v="1077"/>
    <x v="0"/>
    <x v="7"/>
    <n v="2"/>
    <n v="52"/>
  </r>
  <r>
    <x v="1078"/>
    <x v="1"/>
    <x v="8"/>
    <n v="2"/>
    <n v="50"/>
  </r>
  <r>
    <x v="1079"/>
    <x v="0"/>
    <x v="8"/>
    <n v="5"/>
    <n v="41"/>
  </r>
  <r>
    <x v="1080"/>
    <x v="1"/>
    <x v="0"/>
    <n v="1"/>
    <n v="31"/>
  </r>
  <r>
    <x v="1081"/>
    <x v="0"/>
    <x v="3"/>
    <n v="4"/>
    <n v="38"/>
  </r>
  <r>
    <x v="1082"/>
    <x v="1"/>
    <x v="3"/>
    <n v="4"/>
    <n v="28"/>
  </r>
  <r>
    <x v="1083"/>
    <x v="0"/>
    <x v="6"/>
    <n v="2"/>
    <n v="63"/>
  </r>
  <r>
    <x v="1084"/>
    <x v="0"/>
    <x v="6"/>
    <n v="4"/>
    <n v="49"/>
  </r>
  <r>
    <x v="1085"/>
    <x v="0"/>
    <x v="8"/>
    <n v="3"/>
    <n v="34"/>
  </r>
  <r>
    <x v="1086"/>
    <x v="1"/>
    <x v="7"/>
    <n v="1"/>
    <n v="68"/>
  </r>
  <r>
    <x v="1087"/>
    <x v="1"/>
    <x v="4"/>
    <n v="4"/>
    <n v="62"/>
  </r>
  <r>
    <x v="1088"/>
    <x v="1"/>
    <x v="3"/>
    <n v="4"/>
    <n v="68"/>
  </r>
  <r>
    <x v="1089"/>
    <x v="0"/>
    <x v="4"/>
    <n v="3"/>
    <n v="65"/>
  </r>
  <r>
    <x v="1090"/>
    <x v="0"/>
    <x v="2"/>
    <n v="4"/>
    <n v="37"/>
  </r>
  <r>
    <x v="1091"/>
    <x v="0"/>
    <x v="9"/>
    <n v="2"/>
    <n v="54"/>
  </r>
  <r>
    <x v="1092"/>
    <x v="0"/>
    <x v="5"/>
    <n v="2"/>
    <n v="33"/>
  </r>
  <r>
    <x v="1093"/>
    <x v="1"/>
    <x v="8"/>
    <n v="3"/>
    <n v="31"/>
  </r>
  <r>
    <x v="1094"/>
    <x v="0"/>
    <x v="3"/>
    <n v="1"/>
    <n v="32"/>
  </r>
  <r>
    <x v="1095"/>
    <x v="0"/>
    <x v="5"/>
    <n v="1"/>
    <n v="47"/>
  </r>
  <r>
    <x v="1096"/>
    <x v="1"/>
    <x v="0"/>
    <n v="2"/>
    <n v="53"/>
  </r>
  <r>
    <x v="1097"/>
    <x v="1"/>
    <x v="2"/>
    <n v="3"/>
    <n v="15"/>
  </r>
  <r>
    <x v="1098"/>
    <x v="1"/>
    <x v="3"/>
    <n v="5"/>
    <n v="43"/>
  </r>
  <r>
    <x v="1099"/>
    <x v="0"/>
    <x v="0"/>
    <n v="4"/>
    <n v="63"/>
  </r>
  <r>
    <x v="1100"/>
    <x v="1"/>
    <x v="6"/>
    <n v="3"/>
    <n v="29"/>
  </r>
  <r>
    <x v="1101"/>
    <x v="1"/>
    <x v="7"/>
    <n v="5"/>
    <n v="50"/>
  </r>
  <r>
    <x v="1102"/>
    <x v="1"/>
    <x v="0"/>
    <n v="4"/>
    <n v="39"/>
  </r>
  <r>
    <x v="1103"/>
    <x v="0"/>
    <x v="0"/>
    <n v="1"/>
    <n v="32"/>
  </r>
  <r>
    <x v="1104"/>
    <x v="0"/>
    <x v="3"/>
    <n v="1"/>
    <n v="18"/>
  </r>
  <r>
    <x v="1105"/>
    <x v="0"/>
    <x v="4"/>
    <n v="1"/>
    <n v="16"/>
  </r>
  <r>
    <x v="1106"/>
    <x v="0"/>
    <x v="2"/>
    <n v="4"/>
    <n v="28"/>
  </r>
  <r>
    <x v="1107"/>
    <x v="1"/>
    <x v="9"/>
    <n v="2"/>
    <n v="30"/>
  </r>
  <r>
    <x v="1108"/>
    <x v="0"/>
    <x v="3"/>
    <n v="5"/>
    <n v="66"/>
  </r>
  <r>
    <x v="1109"/>
    <x v="1"/>
    <x v="6"/>
    <n v="4"/>
    <n v="62"/>
  </r>
  <r>
    <x v="1110"/>
    <x v="0"/>
    <x v="9"/>
    <n v="5"/>
    <n v="28"/>
  </r>
  <r>
    <x v="1111"/>
    <x v="0"/>
    <x v="1"/>
    <n v="4"/>
    <n v="20"/>
  </r>
  <r>
    <x v="1112"/>
    <x v="1"/>
    <x v="8"/>
    <n v="4"/>
    <n v="60"/>
  </r>
  <r>
    <x v="1113"/>
    <x v="0"/>
    <x v="8"/>
    <n v="1"/>
    <n v="49"/>
  </r>
  <r>
    <x v="1114"/>
    <x v="1"/>
    <x v="7"/>
    <n v="2"/>
    <n v="34"/>
  </r>
  <r>
    <x v="1115"/>
    <x v="0"/>
    <x v="7"/>
    <n v="1"/>
    <n v="16"/>
  </r>
  <r>
    <x v="1116"/>
    <x v="0"/>
    <x v="4"/>
    <n v="4"/>
    <n v="49"/>
  </r>
  <r>
    <x v="1117"/>
    <x v="0"/>
    <x v="9"/>
    <n v="5"/>
    <n v="23"/>
  </r>
  <r>
    <x v="1118"/>
    <x v="1"/>
    <x v="4"/>
    <n v="1"/>
    <n v="65"/>
  </r>
  <r>
    <x v="1119"/>
    <x v="0"/>
    <x v="8"/>
    <n v="2"/>
    <n v="17"/>
  </r>
  <r>
    <x v="1120"/>
    <x v="1"/>
    <x v="7"/>
    <n v="5"/>
    <n v="18"/>
  </r>
  <r>
    <x v="1121"/>
    <x v="1"/>
    <x v="9"/>
    <n v="3"/>
    <n v="23"/>
  </r>
  <r>
    <x v="1122"/>
    <x v="1"/>
    <x v="4"/>
    <n v="1"/>
    <n v="68"/>
  </r>
  <r>
    <x v="1123"/>
    <x v="0"/>
    <x v="7"/>
    <n v="3"/>
    <n v="26"/>
  </r>
  <r>
    <x v="1124"/>
    <x v="0"/>
    <x v="3"/>
    <n v="3"/>
    <n v="70"/>
  </r>
  <r>
    <x v="1125"/>
    <x v="1"/>
    <x v="7"/>
    <n v="5"/>
    <n v="27"/>
  </r>
  <r>
    <x v="1126"/>
    <x v="0"/>
    <x v="3"/>
    <n v="2"/>
    <n v="39"/>
  </r>
  <r>
    <x v="1127"/>
    <x v="0"/>
    <x v="1"/>
    <n v="3"/>
    <n v="55"/>
  </r>
  <r>
    <x v="1128"/>
    <x v="1"/>
    <x v="9"/>
    <n v="2"/>
    <n v="61"/>
  </r>
  <r>
    <x v="1129"/>
    <x v="1"/>
    <x v="1"/>
    <n v="1"/>
    <n v="31"/>
  </r>
  <r>
    <x v="1130"/>
    <x v="1"/>
    <x v="1"/>
    <n v="3"/>
    <n v="47"/>
  </r>
  <r>
    <x v="1131"/>
    <x v="1"/>
    <x v="1"/>
    <n v="2"/>
    <n v="59"/>
  </r>
  <r>
    <x v="1132"/>
    <x v="1"/>
    <x v="9"/>
    <n v="5"/>
    <n v="53"/>
  </r>
  <r>
    <x v="1133"/>
    <x v="0"/>
    <x v="6"/>
    <n v="1"/>
    <n v="16"/>
  </r>
  <r>
    <x v="1134"/>
    <x v="0"/>
    <x v="4"/>
    <n v="3"/>
    <n v="30"/>
  </r>
  <r>
    <x v="1135"/>
    <x v="1"/>
    <x v="5"/>
    <n v="1"/>
    <n v="60"/>
  </r>
  <r>
    <x v="1136"/>
    <x v="1"/>
    <x v="4"/>
    <n v="3"/>
    <n v="22"/>
  </r>
  <r>
    <x v="1137"/>
    <x v="1"/>
    <x v="7"/>
    <n v="1"/>
    <n v="63"/>
  </r>
  <r>
    <x v="1138"/>
    <x v="1"/>
    <x v="1"/>
    <n v="4"/>
    <n v="66"/>
  </r>
  <r>
    <x v="1139"/>
    <x v="0"/>
    <x v="2"/>
    <n v="3"/>
    <n v="62"/>
  </r>
  <r>
    <x v="1140"/>
    <x v="0"/>
    <x v="3"/>
    <n v="5"/>
    <n v="38"/>
  </r>
  <r>
    <x v="1141"/>
    <x v="0"/>
    <x v="9"/>
    <n v="1"/>
    <n v="68"/>
  </r>
  <r>
    <x v="1142"/>
    <x v="0"/>
    <x v="2"/>
    <n v="5"/>
    <n v="19"/>
  </r>
  <r>
    <x v="1143"/>
    <x v="0"/>
    <x v="1"/>
    <n v="5"/>
    <n v="65"/>
  </r>
  <r>
    <x v="1144"/>
    <x v="1"/>
    <x v="4"/>
    <n v="1"/>
    <n v="18"/>
  </r>
  <r>
    <x v="1145"/>
    <x v="1"/>
    <x v="3"/>
    <n v="2"/>
    <n v="47"/>
  </r>
  <r>
    <x v="1146"/>
    <x v="1"/>
    <x v="5"/>
    <n v="2"/>
    <n v="33"/>
  </r>
  <r>
    <x v="1147"/>
    <x v="1"/>
    <x v="7"/>
    <n v="1"/>
    <n v="50"/>
  </r>
  <r>
    <x v="1148"/>
    <x v="1"/>
    <x v="3"/>
    <n v="3"/>
    <n v="25"/>
  </r>
  <r>
    <x v="1149"/>
    <x v="0"/>
    <x v="4"/>
    <n v="2"/>
    <n v="32"/>
  </r>
  <r>
    <x v="1150"/>
    <x v="0"/>
    <x v="8"/>
    <n v="3"/>
    <n v="31"/>
  </r>
  <r>
    <x v="1151"/>
    <x v="1"/>
    <x v="2"/>
    <n v="3"/>
    <n v="22"/>
  </r>
  <r>
    <x v="1152"/>
    <x v="1"/>
    <x v="9"/>
    <n v="2"/>
    <n v="35"/>
  </r>
  <r>
    <x v="1153"/>
    <x v="0"/>
    <x v="9"/>
    <n v="3"/>
    <n v="69"/>
  </r>
  <r>
    <x v="1154"/>
    <x v="1"/>
    <x v="5"/>
    <n v="2"/>
    <n v="50"/>
  </r>
  <r>
    <x v="1155"/>
    <x v="1"/>
    <x v="1"/>
    <n v="3"/>
    <n v="38"/>
  </r>
  <r>
    <x v="1156"/>
    <x v="1"/>
    <x v="4"/>
    <n v="5"/>
    <n v="31"/>
  </r>
  <r>
    <x v="1157"/>
    <x v="1"/>
    <x v="3"/>
    <n v="4"/>
    <n v="57"/>
  </r>
  <r>
    <x v="1158"/>
    <x v="1"/>
    <x v="9"/>
    <n v="5"/>
    <n v="56"/>
  </r>
  <r>
    <x v="1159"/>
    <x v="1"/>
    <x v="5"/>
    <n v="5"/>
    <n v="65"/>
  </r>
  <r>
    <x v="1160"/>
    <x v="0"/>
    <x v="5"/>
    <n v="2"/>
    <n v="30"/>
  </r>
  <r>
    <x v="1161"/>
    <x v="1"/>
    <x v="0"/>
    <n v="3"/>
    <n v="39"/>
  </r>
  <r>
    <x v="1162"/>
    <x v="1"/>
    <x v="2"/>
    <n v="3"/>
    <n v="61"/>
  </r>
  <r>
    <x v="1163"/>
    <x v="0"/>
    <x v="6"/>
    <n v="3"/>
    <n v="61"/>
  </r>
  <r>
    <x v="1164"/>
    <x v="1"/>
    <x v="6"/>
    <n v="4"/>
    <n v="17"/>
  </r>
  <r>
    <x v="1165"/>
    <x v="1"/>
    <x v="9"/>
    <n v="1"/>
    <n v="59"/>
  </r>
  <r>
    <x v="1166"/>
    <x v="1"/>
    <x v="7"/>
    <n v="3"/>
    <n v="55"/>
  </r>
  <r>
    <x v="1167"/>
    <x v="1"/>
    <x v="3"/>
    <n v="5"/>
    <n v="46"/>
  </r>
  <r>
    <x v="1168"/>
    <x v="1"/>
    <x v="6"/>
    <n v="1"/>
    <n v="45"/>
  </r>
  <r>
    <x v="1169"/>
    <x v="1"/>
    <x v="3"/>
    <n v="1"/>
    <n v="53"/>
  </r>
  <r>
    <x v="1170"/>
    <x v="1"/>
    <x v="0"/>
    <n v="5"/>
    <n v="41"/>
  </r>
  <r>
    <x v="1171"/>
    <x v="0"/>
    <x v="2"/>
    <n v="3"/>
    <n v="32"/>
  </r>
  <r>
    <x v="1172"/>
    <x v="1"/>
    <x v="9"/>
    <n v="2"/>
    <n v="60"/>
  </r>
  <r>
    <x v="1173"/>
    <x v="1"/>
    <x v="6"/>
    <n v="2"/>
    <n v="42"/>
  </r>
  <r>
    <x v="1174"/>
    <x v="0"/>
    <x v="5"/>
    <n v="2"/>
    <n v="52"/>
  </r>
  <r>
    <x v="1175"/>
    <x v="1"/>
    <x v="6"/>
    <n v="1"/>
    <n v="16"/>
  </r>
  <r>
    <x v="1176"/>
    <x v="0"/>
    <x v="5"/>
    <n v="2"/>
    <n v="52"/>
  </r>
  <r>
    <x v="1177"/>
    <x v="1"/>
    <x v="7"/>
    <n v="1"/>
    <n v="65"/>
  </r>
  <r>
    <x v="1178"/>
    <x v="1"/>
    <x v="4"/>
    <n v="3"/>
    <n v="19"/>
  </r>
  <r>
    <x v="1179"/>
    <x v="0"/>
    <x v="1"/>
    <n v="5"/>
    <n v="67"/>
  </r>
  <r>
    <x v="1180"/>
    <x v="1"/>
    <x v="1"/>
    <n v="4"/>
    <n v="18"/>
  </r>
  <r>
    <x v="1181"/>
    <x v="0"/>
    <x v="9"/>
    <n v="1"/>
    <n v="17"/>
  </r>
  <r>
    <x v="1182"/>
    <x v="0"/>
    <x v="1"/>
    <n v="5"/>
    <n v="58"/>
  </r>
  <r>
    <x v="1183"/>
    <x v="1"/>
    <x v="6"/>
    <n v="1"/>
    <n v="34"/>
  </r>
  <r>
    <x v="1184"/>
    <x v="1"/>
    <x v="4"/>
    <n v="5"/>
    <n v="16"/>
  </r>
  <r>
    <x v="1185"/>
    <x v="0"/>
    <x v="2"/>
    <n v="3"/>
    <n v="63"/>
  </r>
  <r>
    <x v="1186"/>
    <x v="0"/>
    <x v="1"/>
    <n v="5"/>
    <n v="16"/>
  </r>
  <r>
    <x v="1187"/>
    <x v="0"/>
    <x v="0"/>
    <n v="2"/>
    <n v="16"/>
  </r>
  <r>
    <x v="1188"/>
    <x v="0"/>
    <x v="9"/>
    <n v="2"/>
    <n v="15"/>
  </r>
  <r>
    <x v="1189"/>
    <x v="1"/>
    <x v="2"/>
    <n v="3"/>
    <n v="34"/>
  </r>
  <r>
    <x v="1190"/>
    <x v="0"/>
    <x v="7"/>
    <n v="1"/>
    <n v="15"/>
  </r>
  <r>
    <x v="1191"/>
    <x v="0"/>
    <x v="5"/>
    <n v="1"/>
    <n v="42"/>
  </r>
  <r>
    <x v="1192"/>
    <x v="0"/>
    <x v="5"/>
    <n v="2"/>
    <n v="23"/>
  </r>
  <r>
    <x v="1193"/>
    <x v="1"/>
    <x v="9"/>
    <n v="3"/>
    <n v="56"/>
  </r>
  <r>
    <x v="1194"/>
    <x v="0"/>
    <x v="6"/>
    <n v="5"/>
    <n v="25"/>
  </r>
  <r>
    <x v="1195"/>
    <x v="0"/>
    <x v="7"/>
    <n v="1"/>
    <n v="62"/>
  </r>
  <r>
    <x v="1196"/>
    <x v="0"/>
    <x v="0"/>
    <n v="2"/>
    <n v="67"/>
  </r>
  <r>
    <x v="1197"/>
    <x v="0"/>
    <x v="9"/>
    <n v="1"/>
    <n v="42"/>
  </r>
  <r>
    <x v="1198"/>
    <x v="0"/>
    <x v="7"/>
    <n v="5"/>
    <n v="18"/>
  </r>
  <r>
    <x v="1199"/>
    <x v="0"/>
    <x v="7"/>
    <n v="2"/>
    <n v="31"/>
  </r>
  <r>
    <x v="1200"/>
    <x v="1"/>
    <x v="3"/>
    <n v="2"/>
    <n v="17"/>
  </r>
  <r>
    <x v="1201"/>
    <x v="0"/>
    <x v="8"/>
    <n v="3"/>
    <n v="67"/>
  </r>
  <r>
    <x v="1202"/>
    <x v="1"/>
    <x v="5"/>
    <n v="4"/>
    <n v="66"/>
  </r>
  <r>
    <x v="1203"/>
    <x v="1"/>
    <x v="1"/>
    <n v="1"/>
    <n v="18"/>
  </r>
  <r>
    <x v="1204"/>
    <x v="1"/>
    <x v="0"/>
    <n v="2"/>
    <n v="64"/>
  </r>
  <r>
    <x v="1205"/>
    <x v="1"/>
    <x v="7"/>
    <n v="5"/>
    <n v="24"/>
  </r>
  <r>
    <x v="1206"/>
    <x v="0"/>
    <x v="2"/>
    <n v="5"/>
    <n v="65"/>
  </r>
  <r>
    <x v="1207"/>
    <x v="1"/>
    <x v="2"/>
    <n v="1"/>
    <n v="26"/>
  </r>
  <r>
    <x v="1208"/>
    <x v="0"/>
    <x v="6"/>
    <n v="2"/>
    <n v="37"/>
  </r>
  <r>
    <x v="1209"/>
    <x v="1"/>
    <x v="4"/>
    <n v="3"/>
    <n v="26"/>
  </r>
  <r>
    <x v="1210"/>
    <x v="1"/>
    <x v="7"/>
    <n v="3"/>
    <n v="68"/>
  </r>
  <r>
    <x v="1211"/>
    <x v="1"/>
    <x v="7"/>
    <n v="3"/>
    <n v="66"/>
  </r>
  <r>
    <x v="1212"/>
    <x v="0"/>
    <x v="8"/>
    <n v="1"/>
    <n v="35"/>
  </r>
  <r>
    <x v="1213"/>
    <x v="1"/>
    <x v="7"/>
    <n v="4"/>
    <n v="48"/>
  </r>
  <r>
    <x v="1214"/>
    <x v="1"/>
    <x v="7"/>
    <n v="2"/>
    <n v="20"/>
  </r>
  <r>
    <x v="1215"/>
    <x v="1"/>
    <x v="9"/>
    <n v="1"/>
    <n v="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colGrandTotals="0" itemPrintTitles="1" createdVersion="5" indent="0" compact="0" outline="1" outlineData="1" compactData="0" multipleFieldFilters="0" chartFormat="18" rowHeaderCaption="Month">
  <location ref="G27:H40" firstHeaderRow="1" firstDataRow="1" firstDataCol="1" rowPageCount="1" colPageCount="1"/>
  <pivotFields count="3">
    <pivotField axis="axisPage" compact="0" multipleItemSelectionAllowed="1" showAll="0" insertBlankRow="1">
      <items count="4">
        <item x="2"/>
        <item x="1"/>
        <item x="0"/>
        <item t="default"/>
      </items>
    </pivotField>
    <pivotField axis="axisRow" compact="0" showAll="0" insertBlankRow="1">
      <items count="13">
        <item x="0"/>
        <item x="1"/>
        <item x="2"/>
        <item x="3"/>
        <item x="4"/>
        <item x="5"/>
        <item x="6"/>
        <item x="7"/>
        <item x="8"/>
        <item x="9"/>
        <item x="10"/>
        <item x="11"/>
        <item t="default"/>
      </items>
    </pivotField>
    <pivotField dataField="1" compact="0" numFmtId="168" showAll="0" insertBlankRow="1"/>
  </pivotFields>
  <rowFields count="1">
    <field x="1"/>
  </rowFields>
  <rowItems count="13">
    <i>
      <x/>
    </i>
    <i>
      <x v="1"/>
    </i>
    <i>
      <x v="2"/>
    </i>
    <i>
      <x v="3"/>
    </i>
    <i>
      <x v="4"/>
    </i>
    <i>
      <x v="5"/>
    </i>
    <i>
      <x v="6"/>
    </i>
    <i>
      <x v="7"/>
    </i>
    <i>
      <x v="8"/>
    </i>
    <i>
      <x v="9"/>
    </i>
    <i>
      <x v="10"/>
    </i>
    <i>
      <x v="11"/>
    </i>
    <i t="grand">
      <x/>
    </i>
  </rowItems>
  <colItems count="1">
    <i/>
  </colItems>
  <pageFields count="1">
    <pageField fld="0" hier="-1"/>
  </pageFields>
  <dataFields count="1">
    <dataField name="Monthly Sales " fld="2" baseField="0" baseItem="0" numFmtId="168"/>
  </dataFields>
  <formats count="7">
    <format dxfId="39">
      <pivotArea outline="0" collapsedLevelsAreSubtotals="1" fieldPosition="0"/>
    </format>
    <format dxfId="38">
      <pivotArea field="1" type="button" dataOnly="0" labelOnly="1" outline="0" axis="axisRow" fieldPosition="0"/>
    </format>
    <format dxfId="37">
      <pivotArea dataOnly="0" labelOnly="1" outline="0" axis="axisValues" fieldPosition="0"/>
    </format>
    <format dxfId="36">
      <pivotArea grandRow="1" outline="0" collapsedLevelsAreSubtotals="1" fieldPosition="0"/>
    </format>
    <format dxfId="35">
      <pivotArea dataOnly="0" labelOnly="1" grandRow="1" outline="0" fieldPosition="0"/>
    </format>
    <format dxfId="34">
      <pivotArea outline="0" collapsedLevelsAreSubtotals="1" fieldPosition="0"/>
    </format>
    <format dxfId="3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chartFormat="6" colHeaderCaption="Store Location">
  <location ref="G4:M22" firstHeaderRow="1" firstDataRow="3" firstDataCol="1"/>
  <pivotFields count="5">
    <pivotField axis="axisCol" compact="0" outline="0" showAll="0" insertBlankRow="1">
      <items count="4">
        <item x="2"/>
        <item x="1"/>
        <item x="0"/>
        <item t="default"/>
      </items>
    </pivotField>
    <pivotField axis="axisRow" compact="0" outline="0" showAll="0" insertBlankRow="1">
      <items count="17">
        <item x="0"/>
        <item x="1"/>
        <item x="2"/>
        <item n="Quater 1 " f="1" x="12"/>
        <item x="3"/>
        <item x="4"/>
        <item x="5"/>
        <item n="Quater 2" f="1" x="15"/>
        <item x="6"/>
        <item x="7"/>
        <item x="8"/>
        <item n="Quater 3" f="1" x="13"/>
        <item x="9"/>
        <item x="10"/>
        <item x="11"/>
        <item n="Quater 4" f="1" x="14"/>
        <item t="default"/>
      </items>
    </pivotField>
    <pivotField dataField="1" compact="0" numFmtId="1" outline="0" showAll="0" insertBlankRow="1"/>
    <pivotField compact="0" numFmtId="1" outline="0" showAll="0" insertBlankRow="1"/>
    <pivotField dataField="1" compact="0" outline="0" dragToRow="0" dragToCol="0" dragToPage="0" showAll="0" insertBlankRow="1" defaultSubtotal="0"/>
  </pivotFields>
  <rowFields count="1">
    <field x="1"/>
  </rowFields>
  <rowItems count="16">
    <i>
      <x/>
    </i>
    <i>
      <x v="1"/>
    </i>
    <i>
      <x v="2"/>
    </i>
    <i>
      <x v="3"/>
    </i>
    <i>
      <x v="4"/>
    </i>
    <i>
      <x v="5"/>
    </i>
    <i>
      <x v="6"/>
    </i>
    <i>
      <x v="7"/>
    </i>
    <i>
      <x v="8"/>
    </i>
    <i>
      <x v="9"/>
    </i>
    <i>
      <x v="10"/>
    </i>
    <i>
      <x v="11"/>
    </i>
    <i>
      <x v="12"/>
    </i>
    <i>
      <x v="13"/>
    </i>
    <i>
      <x v="14"/>
    </i>
    <i>
      <x v="15"/>
    </i>
  </rowItems>
  <colFields count="2">
    <field x="0"/>
    <field x="-2"/>
  </colFields>
  <colItems count="6">
    <i>
      <x/>
      <x/>
    </i>
    <i r="1" i="1">
      <x v="1"/>
    </i>
    <i>
      <x v="1"/>
      <x/>
    </i>
    <i r="1" i="1">
      <x v="1"/>
    </i>
    <i>
      <x v="2"/>
      <x/>
    </i>
    <i r="1" i="1">
      <x v="1"/>
    </i>
  </colItems>
  <dataFields count="2">
    <dataField name="Sum of Sales " fld="2" baseField="0" baseItem="0"/>
    <dataField name="Average Price" fld="4" baseField="0" baseItem="0" numFmtId="1"/>
  </dataFields>
  <formats count="71">
    <format dxfId="110">
      <pivotArea dataOnly="0" labelOnly="1" outline="0" fieldPosition="0">
        <references count="2">
          <reference field="4294967294" count="1">
            <x v="1"/>
          </reference>
          <reference field="0" count="1" selected="0">
            <x v="0"/>
          </reference>
        </references>
      </pivotArea>
    </format>
    <format dxfId="109">
      <pivotArea dataOnly="0" labelOnly="1" outline="0" fieldPosition="0">
        <references count="2">
          <reference field="4294967294" count="1">
            <x v="1"/>
          </reference>
          <reference field="0" count="1" selected="0">
            <x v="1"/>
          </reference>
        </references>
      </pivotArea>
    </format>
    <format dxfId="108">
      <pivotArea dataOnly="0" labelOnly="1" outline="0" fieldPosition="0">
        <references count="2">
          <reference field="4294967294" count="1">
            <x v="1"/>
          </reference>
          <reference field="0" count="1" selected="0">
            <x v="2"/>
          </reference>
        </references>
      </pivotArea>
    </format>
    <format dxfId="107">
      <pivotArea field="0" dataOnly="0" labelOnly="1" grandCol="1" outline="0" axis="axisCol" fieldPosition="0">
        <references count="1">
          <reference field="4294967294" count="1" selected="0">
            <x v="0"/>
          </reference>
        </references>
      </pivotArea>
    </format>
    <format dxfId="106">
      <pivotArea field="0" dataOnly="0" labelOnly="1" grandCol="1" outline="0" axis="axisCol" fieldPosition="0">
        <references count="1">
          <reference field="4294967294" count="1" selected="0">
            <x v="1"/>
          </reference>
        </references>
      </pivotArea>
    </format>
    <format dxfId="105">
      <pivotArea dataOnly="0" fieldPosition="0">
        <references count="1">
          <reference field="1" count="1">
            <x v="3"/>
          </reference>
        </references>
      </pivotArea>
    </format>
    <format dxfId="104">
      <pivotArea dataOnly="0" fieldPosition="0">
        <references count="1">
          <reference field="1" count="3">
            <x v="7"/>
            <x v="11"/>
            <x v="15"/>
          </reference>
        </references>
      </pivotArea>
    </format>
    <format dxfId="103">
      <pivotArea dataOnly="0" labelOnly="1" outline="0" fieldPosition="0">
        <references count="2">
          <reference field="4294967294" count="1">
            <x v="0"/>
          </reference>
          <reference field="0" count="1" selected="0">
            <x v="0"/>
          </reference>
        </references>
      </pivotArea>
    </format>
    <format dxfId="102">
      <pivotArea dataOnly="0" labelOnly="1" outline="0" fieldPosition="0">
        <references count="2">
          <reference field="4294967294" count="1">
            <x v="0"/>
          </reference>
          <reference field="0" count="1" selected="0">
            <x v="1"/>
          </reference>
        </references>
      </pivotArea>
    </format>
    <format dxfId="101">
      <pivotArea dataOnly="0" labelOnly="1" outline="0" fieldPosition="0">
        <references count="2">
          <reference field="4294967294" count="1">
            <x v="0"/>
          </reference>
          <reference field="0" count="1" selected="0">
            <x v="2"/>
          </reference>
        </references>
      </pivotArea>
    </format>
    <format dxfId="100">
      <pivotArea outline="0" collapsedLevelsAreSubtotals="1" fieldPosition="0"/>
    </format>
    <format dxfId="99">
      <pivotArea dataOnly="0" labelOnly="1" outline="0" fieldPosition="0">
        <references count="1">
          <reference field="0" count="0"/>
        </references>
      </pivotArea>
    </format>
    <format dxfId="98">
      <pivotArea field="0" dataOnly="0" labelOnly="1" grandCol="1" outline="0" axis="axisCol" fieldPosition="0">
        <references count="1">
          <reference field="4294967294" count="1" selected="0">
            <x v="0"/>
          </reference>
        </references>
      </pivotArea>
    </format>
    <format dxfId="97">
      <pivotArea field="0" dataOnly="0" labelOnly="1" grandCol="1" outline="0" axis="axisCol" fieldPosition="0">
        <references count="1">
          <reference field="4294967294" count="1" selected="0">
            <x v="1"/>
          </reference>
        </references>
      </pivotArea>
    </format>
    <format dxfId="96">
      <pivotArea dataOnly="0" labelOnly="1" outline="0" fieldPosition="0">
        <references count="2">
          <reference field="4294967294" count="2">
            <x v="0"/>
            <x v="1"/>
          </reference>
          <reference field="0" count="1" selected="0">
            <x v="0"/>
          </reference>
        </references>
      </pivotArea>
    </format>
    <format dxfId="95">
      <pivotArea dataOnly="0" labelOnly="1" outline="0" fieldPosition="0">
        <references count="2">
          <reference field="4294967294" count="2">
            <x v="0"/>
            <x v="1"/>
          </reference>
          <reference field="0" count="1" selected="0">
            <x v="1"/>
          </reference>
        </references>
      </pivotArea>
    </format>
    <format dxfId="94">
      <pivotArea dataOnly="0" labelOnly="1" outline="0" fieldPosition="0">
        <references count="2">
          <reference field="4294967294" count="2">
            <x v="0"/>
            <x v="1"/>
          </reference>
          <reference field="0" count="1" selected="0">
            <x v="2"/>
          </reference>
        </references>
      </pivotArea>
    </format>
    <format dxfId="93">
      <pivotArea grandRow="1" outline="0" collapsedLevelsAreSubtotals="1" fieldPosition="0"/>
    </format>
    <format dxfId="92">
      <pivotArea dataOnly="0" labelOnly="1" grandRow="1" outline="0" fieldPosition="0"/>
    </format>
    <format dxfId="91">
      <pivotArea field="1" type="button" dataOnly="0" labelOnly="1" outline="0" axis="axisRow" fieldPosition="0"/>
    </format>
    <format dxfId="90">
      <pivotArea field="0" dataOnly="0" labelOnly="1" grandCol="1" outline="0" offset="IV256" axis="axisCol" fieldPosition="0">
        <references count="1">
          <reference field="4294967294" count="1" selected="0">
            <x v="0"/>
          </reference>
        </references>
      </pivotArea>
    </format>
    <format dxfId="89">
      <pivotArea field="0" dataOnly="0" labelOnly="1" grandCol="1" outline="0" offset="IV256" axis="axisCol" fieldPosition="0">
        <references count="1">
          <reference field="4294967294" count="1" selected="0">
            <x v="1"/>
          </reference>
        </references>
      </pivotArea>
    </format>
    <format dxfId="88">
      <pivotArea dataOnly="0" labelOnly="1" outline="0" fieldPosition="0">
        <references count="2">
          <reference field="4294967294" count="2">
            <x v="0"/>
            <x v="1"/>
          </reference>
          <reference field="0" count="1" selected="0">
            <x v="0"/>
          </reference>
        </references>
      </pivotArea>
    </format>
    <format dxfId="87">
      <pivotArea dataOnly="0" labelOnly="1" outline="0" fieldPosition="0">
        <references count="2">
          <reference field="4294967294" count="2">
            <x v="0"/>
            <x v="1"/>
          </reference>
          <reference field="0" count="1" selected="0">
            <x v="1"/>
          </reference>
        </references>
      </pivotArea>
    </format>
    <format dxfId="86">
      <pivotArea dataOnly="0" labelOnly="1" outline="0" fieldPosition="0">
        <references count="2">
          <reference field="4294967294" count="2">
            <x v="0"/>
            <x v="1"/>
          </reference>
          <reference field="0" count="1" selected="0">
            <x v="2"/>
          </reference>
        </references>
      </pivotArea>
    </format>
    <format dxfId="85">
      <pivotArea grandRow="1" outline="0" collapsedLevelsAreSubtotals="1" fieldPosition="0"/>
    </format>
    <format dxfId="84">
      <pivotArea dataOnly="0" labelOnly="1" grandRow="1" outline="0" fieldPosition="0"/>
    </format>
    <format dxfId="83">
      <pivotArea dataOnly="0" labelOnly="1" outline="0" fieldPosition="0">
        <references count="1">
          <reference field="0" count="0"/>
        </references>
      </pivotArea>
    </format>
    <format dxfId="82">
      <pivotArea field="0" dataOnly="0" labelOnly="1" grandCol="1" outline="0" axis="axisCol" fieldPosition="0">
        <references count="1">
          <reference field="4294967294" count="1" selected="0">
            <x v="0"/>
          </reference>
        </references>
      </pivotArea>
    </format>
    <format dxfId="81">
      <pivotArea field="0" dataOnly="0" labelOnly="1" grandCol="1" outline="0" axis="axisCol" fieldPosition="0">
        <references count="1">
          <reference field="4294967294" count="1" selected="0">
            <x v="1"/>
          </reference>
        </references>
      </pivotArea>
    </format>
    <format dxfId="80">
      <pivotArea dataOnly="0" labelOnly="1" outline="0" fieldPosition="0">
        <references count="2">
          <reference field="4294967294" count="2">
            <x v="0"/>
            <x v="1"/>
          </reference>
          <reference field="0" count="1" selected="0">
            <x v="0"/>
          </reference>
        </references>
      </pivotArea>
    </format>
    <format dxfId="79">
      <pivotArea dataOnly="0" labelOnly="1" outline="0" fieldPosition="0">
        <references count="2">
          <reference field="4294967294" count="2">
            <x v="0"/>
            <x v="1"/>
          </reference>
          <reference field="0" count="1" selected="0">
            <x v="1"/>
          </reference>
        </references>
      </pivotArea>
    </format>
    <format dxfId="78">
      <pivotArea dataOnly="0" labelOnly="1" outline="0" fieldPosition="0">
        <references count="2">
          <reference field="4294967294" count="2">
            <x v="0"/>
            <x v="1"/>
          </reference>
          <reference field="0" count="1" selected="0">
            <x v="2"/>
          </reference>
        </references>
      </pivotArea>
    </format>
    <format dxfId="77">
      <pivotArea dataOnly="0" labelOnly="1" outline="0" fieldPosition="0">
        <references count="1">
          <reference field="0" count="0"/>
        </references>
      </pivotArea>
    </format>
    <format dxfId="76">
      <pivotArea field="0" dataOnly="0" labelOnly="1" grandCol="1" outline="0" axis="axisCol" fieldPosition="0">
        <references count="1">
          <reference field="4294967294" count="1" selected="0">
            <x v="0"/>
          </reference>
        </references>
      </pivotArea>
    </format>
    <format dxfId="75">
      <pivotArea field="0" dataOnly="0" labelOnly="1" grandCol="1" outline="0" axis="axisCol" fieldPosition="0">
        <references count="1">
          <reference field="4294967294" count="1" selected="0">
            <x v="1"/>
          </reference>
        </references>
      </pivotArea>
    </format>
    <format dxfId="74">
      <pivotArea dataOnly="0" labelOnly="1" outline="0" fieldPosition="0">
        <references count="1">
          <reference field="0" count="2">
            <x v="1"/>
            <x v="2"/>
          </reference>
        </references>
      </pivotArea>
    </format>
    <format dxfId="73">
      <pivotArea dataOnly="0" labelOnly="1" outline="0" fieldPosition="0">
        <references count="1">
          <reference field="0" count="1">
            <x v="1"/>
          </reference>
        </references>
      </pivotArea>
    </format>
    <format dxfId="72">
      <pivotArea dataOnly="0" labelOnly="1" outline="0" fieldPosition="0">
        <references count="1">
          <reference field="0" count="1">
            <x v="2"/>
          </reference>
        </references>
      </pivotArea>
    </format>
    <format dxfId="71">
      <pivotArea type="origin" dataOnly="0" labelOnly="1" outline="0" offset="A2" fieldPosition="0"/>
    </format>
    <format dxfId="70">
      <pivotArea type="origin" dataOnly="0" labelOnly="1" outline="0" offset="A1" fieldPosition="0"/>
    </format>
    <format dxfId="69">
      <pivotArea type="origin" dataOnly="0" labelOnly="1" outline="0" offset="A1" fieldPosition="0"/>
    </format>
    <format dxfId="68">
      <pivotArea field="0" type="button" dataOnly="0" labelOnly="1" outline="0" axis="axisCol" fieldPosition="0"/>
    </format>
    <format dxfId="67">
      <pivotArea type="origin" dataOnly="0" labelOnly="1" outline="0" offset="A2" fieldPosition="0"/>
    </format>
    <format dxfId="66">
      <pivotArea field="1" type="button" dataOnly="0" labelOnly="1" outline="0" axis="axisRow" fieldPosition="0"/>
    </format>
    <format dxfId="65">
      <pivotArea dataOnly="0" labelOnly="1" outline="0" fieldPosition="0">
        <references count="2">
          <reference field="4294967294" count="2">
            <x v="0"/>
            <x v="1"/>
          </reference>
          <reference field="0" count="1" selected="0">
            <x v="0"/>
          </reference>
        </references>
      </pivotArea>
    </format>
    <format dxfId="64">
      <pivotArea dataOnly="0" labelOnly="1" outline="0" fieldPosition="0">
        <references count="2">
          <reference field="4294967294" count="2">
            <x v="0"/>
            <x v="1"/>
          </reference>
          <reference field="0" count="1" selected="0">
            <x v="1"/>
          </reference>
        </references>
      </pivotArea>
    </format>
    <format dxfId="63">
      <pivotArea dataOnly="0" labelOnly="1" outline="0" fieldPosition="0">
        <references count="2">
          <reference field="4294967294" count="2">
            <x v="0"/>
            <x v="1"/>
          </reference>
          <reference field="0" count="1" selected="0">
            <x v="2"/>
          </reference>
        </references>
      </pivotArea>
    </format>
    <format dxfId="62">
      <pivotArea outline="0" collapsedLevelsAreSubtotals="1" fieldPosition="0"/>
    </format>
    <format dxfId="61">
      <pivotArea dataOnly="0" labelOnly="1" outline="0" fieldPosition="0">
        <references count="1">
          <reference field="1" count="0"/>
        </references>
      </pivotArea>
    </format>
    <format dxfId="60">
      <pivotArea type="origin" dataOnly="0" labelOnly="1" outline="0" offset="A2" fieldPosition="0"/>
    </format>
    <format dxfId="59">
      <pivotArea dataOnly="0" labelOnly="1" outline="0" fieldPosition="0">
        <references count="1">
          <reference field="0" count="0"/>
        </references>
      </pivotArea>
    </format>
    <format dxfId="58">
      <pivotArea field="1" type="button" dataOnly="0" labelOnly="1" outline="0" axis="axisRow" fieldPosition="0"/>
    </format>
    <format dxfId="57">
      <pivotArea dataOnly="0" labelOnly="1" outline="0" fieldPosition="0">
        <references count="2">
          <reference field="4294967294" count="2">
            <x v="0"/>
            <x v="1"/>
          </reference>
          <reference field="0" count="1" selected="0">
            <x v="0"/>
          </reference>
        </references>
      </pivotArea>
    </format>
    <format dxfId="56">
      <pivotArea dataOnly="0" labelOnly="1" outline="0" fieldPosition="0">
        <references count="2">
          <reference field="4294967294" count="2">
            <x v="0"/>
            <x v="1"/>
          </reference>
          <reference field="0" count="1" selected="0">
            <x v="1"/>
          </reference>
        </references>
      </pivotArea>
    </format>
    <format dxfId="55">
      <pivotArea dataOnly="0" labelOnly="1" outline="0" fieldPosition="0">
        <references count="2">
          <reference field="4294967294" count="2">
            <x v="0"/>
            <x v="1"/>
          </reference>
          <reference field="0" count="1" selected="0">
            <x v="2"/>
          </reference>
        </references>
      </pivotArea>
    </format>
    <format dxfId="54">
      <pivotArea outline="0" collapsedLevelsAreSubtotals="1" fieldPosition="0"/>
    </format>
    <format dxfId="53">
      <pivotArea dataOnly="0" labelOnly="1" outline="0" fieldPosition="0">
        <references count="1">
          <reference field="0" count="0"/>
        </references>
      </pivotArea>
    </format>
    <format dxfId="52">
      <pivotArea dataOnly="0" labelOnly="1" outline="0" fieldPosition="0">
        <references count="2">
          <reference field="4294967294" count="2">
            <x v="0"/>
            <x v="1"/>
          </reference>
          <reference field="0" count="1" selected="0">
            <x v="0"/>
          </reference>
        </references>
      </pivotArea>
    </format>
    <format dxfId="51">
      <pivotArea dataOnly="0" labelOnly="1" outline="0" fieldPosition="0">
        <references count="2">
          <reference field="4294967294" count="2">
            <x v="0"/>
            <x v="1"/>
          </reference>
          <reference field="0" count="1" selected="0">
            <x v="1"/>
          </reference>
        </references>
      </pivotArea>
    </format>
    <format dxfId="50">
      <pivotArea dataOnly="0" labelOnly="1" outline="0" fieldPosition="0">
        <references count="2">
          <reference field="4294967294" count="2">
            <x v="0"/>
            <x v="1"/>
          </reference>
          <reference field="0" count="1" selected="0">
            <x v="2"/>
          </reference>
        </references>
      </pivotArea>
    </format>
    <format dxfId="49">
      <pivotArea field="1" type="button" dataOnly="0" labelOnly="1" outline="0" axis="axisRow" fieldPosition="0"/>
    </format>
    <format dxfId="48">
      <pivotArea field="0" type="button" dataOnly="0" labelOnly="1" outline="0" axis="axisCol" fieldPosition="0"/>
    </format>
    <format dxfId="47">
      <pivotArea field="-2" type="button" dataOnly="0" labelOnly="1" outline="0" axis="axisCol" fieldPosition="1"/>
    </format>
    <format dxfId="46">
      <pivotArea field="0" type="button" dataOnly="0" labelOnly="1" outline="0" axis="axisCol" fieldPosition="0"/>
    </format>
    <format dxfId="45">
      <pivotArea type="origin" dataOnly="0" labelOnly="1" outline="0" offset="A1" fieldPosition="0"/>
    </format>
    <format dxfId="44">
      <pivotArea type="origin" dataOnly="0" labelOnly="1" outline="0" offset="A1" fieldPosition="0"/>
    </format>
    <format dxfId="43">
      <pivotArea field="0" type="button" dataOnly="0" labelOnly="1" outline="0" axis="axisCol" fieldPosition="0"/>
    </format>
    <format dxfId="42">
      <pivotArea type="origin" dataOnly="0" labelOnly="1" outline="0" offset="A2" fieldPosition="0"/>
    </format>
    <format dxfId="41">
      <pivotArea dataOnly="0" labelOnly="1" outline="0" fieldPosition="0">
        <references count="1">
          <reference field="0" count="1">
            <x v="0"/>
          </reference>
        </references>
      </pivotArea>
    </format>
    <format dxfId="40">
      <pivotArea type="origin" dataOnly="0" labelOnly="1" outline="0" offset="A1" fieldPosition="0"/>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rowHeaderCaption="Date">
  <location ref="M6:N25" firstHeaderRow="1" firstDataRow="1" firstDataCol="1" rowPageCount="1" colPageCount="1"/>
  <pivotFields count="7">
    <pivotField axis="axisRow" numFmtId="14" showAll="0">
      <items count="15">
        <item x="0"/>
        <item x="1"/>
        <item x="2"/>
        <item x="3"/>
        <item x="4"/>
        <item x="5"/>
        <item x="6"/>
        <item x="7"/>
        <item x="8"/>
        <item x="9"/>
        <item x="10"/>
        <item x="11"/>
        <item x="12"/>
        <item x="13"/>
        <item t="default"/>
      </items>
    </pivotField>
    <pivotField axis="axisPage" multipleItemSelectionAllowed="1" showAll="0">
      <items count="3">
        <item x="1"/>
        <item x="0"/>
        <item t="default"/>
      </items>
    </pivotField>
    <pivotField showAll="0"/>
    <pivotField showAll="0"/>
    <pivotField dataField="1" numFmtId="164" showAll="0"/>
    <pivotField axis="axisRow" showAll="0">
      <items count="7">
        <item x="0"/>
        <item sd="0" x="1"/>
        <item sd="0" x="2"/>
        <item sd="0" x="3"/>
        <item sd="0" x="4"/>
        <item x="5"/>
        <item t="default"/>
      </items>
    </pivotField>
    <pivotField axis="axisRow" showAll="0">
      <items count="7">
        <item x="0"/>
        <item x="1"/>
        <item x="2"/>
        <item x="3"/>
        <item x="4"/>
        <item x="5"/>
        <item t="default"/>
      </items>
    </pivotField>
  </pivotFields>
  <rowFields count="3">
    <field x="6"/>
    <field x="5"/>
    <field x="0"/>
  </rowFields>
  <rowItems count="19">
    <i>
      <x v="1"/>
    </i>
    <i r="1">
      <x v="1"/>
    </i>
    <i r="1">
      <x v="2"/>
    </i>
    <i r="1">
      <x v="3"/>
    </i>
    <i r="1">
      <x v="4"/>
    </i>
    <i>
      <x v="2"/>
    </i>
    <i r="1">
      <x v="1"/>
    </i>
    <i r="1">
      <x v="2"/>
    </i>
    <i r="1">
      <x v="3"/>
    </i>
    <i r="1">
      <x v="4"/>
    </i>
    <i>
      <x v="3"/>
    </i>
    <i r="1">
      <x v="1"/>
    </i>
    <i r="1">
      <x v="2"/>
    </i>
    <i r="1">
      <x v="3"/>
    </i>
    <i r="1">
      <x v="4"/>
    </i>
    <i>
      <x v="4"/>
    </i>
    <i r="1">
      <x v="1"/>
    </i>
    <i r="1">
      <x v="2"/>
    </i>
    <i t="grand">
      <x/>
    </i>
  </rowItems>
  <colItems count="1">
    <i/>
  </colItems>
  <pageFields count="1">
    <pageField fld="1" hier="-1"/>
  </pageFields>
  <dataFields count="1">
    <dataField name="Sum of Total" fld="4" baseField="0" baseItem="0" numFmtId="168"/>
  </dataFields>
  <formats count="2">
    <format dxfId="12">
      <pivotArea outline="0" collapsedLevelsAreSubtotals="1" fieldPosition="0"/>
    </format>
    <format dxfId="11">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9" cacheId="2"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rowHeaderCaption="Product" colHeaderCaption="Customer Type">
  <location ref="H4:K16" firstHeaderRow="1" firstDataRow="2" firstDataCol="1"/>
  <pivotFields count="7">
    <pivotField numFmtId="14" showAll="0" defaultSubtotal="0">
      <items count="14">
        <item x="0"/>
        <item x="1"/>
        <item x="2"/>
        <item x="3"/>
        <item x="4"/>
        <item x="5"/>
        <item x="6"/>
        <item x="7"/>
        <item x="8"/>
        <item x="9"/>
        <item x="10"/>
        <item x="11"/>
        <item x="12"/>
        <item x="13"/>
      </items>
    </pivotField>
    <pivotField axis="axisCol" showAll="0" defaultSubtotal="0">
      <items count="2">
        <item x="1"/>
        <item x="0"/>
      </items>
    </pivotField>
    <pivotField axis="axisRow" showAll="0" defaultSubtotal="0">
      <items count="10">
        <item x="0"/>
        <item x="8"/>
        <item x="5"/>
        <item x="9"/>
        <item x="4"/>
        <item x="3"/>
        <item x="7"/>
        <item x="6"/>
        <item x="1"/>
        <item x="2"/>
      </items>
    </pivotField>
    <pivotField showAll="0" defaultSubtotal="0"/>
    <pivotField dataField="1" numFmtId="164" showAll="0" defaultSubtotal="0"/>
    <pivotField showAll="0" defaultSubtotal="0">
      <items count="6">
        <item x="0"/>
        <item x="1"/>
        <item x="2"/>
        <item x="3"/>
        <item x="4"/>
        <item x="5"/>
      </items>
    </pivotField>
    <pivotField showAll="0" defaultSubtotal="0">
      <items count="6">
        <item x="0"/>
        <item x="1"/>
        <item x="2"/>
        <item x="3"/>
        <item x="4"/>
        <item x="5"/>
      </items>
    </pivotField>
  </pivotFields>
  <rowFields count="1">
    <field x="2"/>
  </rowFields>
  <rowItems count="11">
    <i>
      <x/>
    </i>
    <i>
      <x v="1"/>
    </i>
    <i>
      <x v="2"/>
    </i>
    <i>
      <x v="3"/>
    </i>
    <i>
      <x v="4"/>
    </i>
    <i>
      <x v="5"/>
    </i>
    <i>
      <x v="6"/>
    </i>
    <i>
      <x v="7"/>
    </i>
    <i>
      <x v="8"/>
    </i>
    <i>
      <x v="9"/>
    </i>
    <i t="grand">
      <x/>
    </i>
  </rowItems>
  <colFields count="1">
    <field x="1"/>
  </colFields>
  <colItems count="3">
    <i>
      <x/>
    </i>
    <i>
      <x v="1"/>
    </i>
    <i t="grand">
      <x/>
    </i>
  </colItems>
  <dataFields count="1">
    <dataField name="Sum of Total" fld="4" baseField="0" baseItem="0"/>
  </dataFields>
  <formats count="11">
    <format dxfId="23">
      <pivotArea outline="0" collapsedLevelsAreSubtotals="1" fieldPosition="0"/>
    </format>
    <format dxfId="22">
      <pivotArea outline="0" collapsedLevelsAreSubtotals="1" fieldPosition="0"/>
    </format>
    <format dxfId="21">
      <pivotArea dataOnly="0" labelOnly="1" grandCol="1" outline="0" fieldPosition="0"/>
    </format>
    <format dxfId="20">
      <pivotArea dataOnly="0" labelOnly="1" grandCol="1" outline="0" fieldPosition="0"/>
    </format>
    <format dxfId="19">
      <pivotArea dataOnly="0" labelOnly="1" grandCol="1" outline="0" fieldPosition="0"/>
    </format>
    <format dxfId="18">
      <pivotArea dataOnly="0" grandRow="1" axis="axisRow" fieldPosition="0"/>
    </format>
    <format dxfId="17">
      <pivotArea dataOnly="0" labelOnly="1" fieldPosition="0">
        <references count="1">
          <reference field="1" count="0"/>
        </references>
      </pivotArea>
    </format>
    <format dxfId="16">
      <pivotArea dataOnly="0" labelOnly="1" grandCol="1" outline="0" fieldPosition="0"/>
    </format>
    <format dxfId="15">
      <pivotArea field="2" type="button" dataOnly="0" labelOnly="1" outline="0" axis="axisRow" fieldPosition="0"/>
    </format>
    <format dxfId="14">
      <pivotArea dataOnly="0" labelOnly="1" fieldPosition="0">
        <references count="1">
          <reference field="1" count="0"/>
        </references>
      </pivotArea>
    </format>
    <format dxfId="13">
      <pivotArea dataOnly="0" labelOnly="1" grandCol="1" outline="0" fieldPosition="0"/>
    </format>
  </formats>
  <pivotTableStyleInfo name="PivotStyleLight15" showRowHeaders="1" showColHeaders="1" showRowStripes="0" showColStripes="0" showLastColumn="1"/>
  <filters count="1">
    <filter fld="0" type="dateBetween" evalOrder="-1" id="47" name="Ordered Date">
      <autoFilter ref="A1">
        <filterColumn colId="0">
          <customFilters and="1">
            <customFilter operator="greaterThanOrEqual" val="434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ore_Location" sourceName="Store Location">
  <pivotTables>
    <pivotTable tabId="16" name="PivotTable1"/>
  </pivotTables>
  <data>
    <tabular pivotCacheId="1">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6" name="PivotTable1"/>
  </pivotTables>
  <data>
    <tabular pivotCacheId="1">
      <items count="16">
        <i x="0" s="1"/>
        <i x="1" s="1"/>
        <i x="2" s="1"/>
        <i x="3" s="1"/>
        <i x="4" s="1"/>
        <i x="5" s="1"/>
        <i x="6" s="1"/>
        <i x="7" s="1"/>
        <i x="8" s="1"/>
        <i x="9" s="1"/>
        <i x="10" s="1"/>
        <i x="11" s="1"/>
        <i x="12" s="1"/>
        <i x="15" s="1"/>
        <i x="13" s="1"/>
        <i x="1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ore Location" cache="Slicer_Store_Location" caption="Store Location" rowHeight="241300"/>
  <slicer name="Month" cache="Slicer_Month" caption="Month" rowHeight="241300"/>
</slicers>
</file>

<file path=xl/tables/table1.xml><?xml version="1.0" encoding="utf-8"?>
<table xmlns="http://schemas.openxmlformats.org/spreadsheetml/2006/main" id="1" name="Table1" displayName="Table1" ref="B7:H23" totalsRowShown="0" headerRowDxfId="30" tableBorderDxfId="29">
  <autoFilter ref="B7:H23"/>
  <tableColumns count="7">
    <tableColumn id="1" name="Store_x000a_Location"/>
    <tableColumn id="2" name="Job Type"/>
    <tableColumn id="3" name="Hours Worked_x000a_(Weekly)" dataDxfId="28"/>
    <tableColumn id="4" name="Wage Rate" dataDxfId="27" dataCellStyle="Currency"/>
    <tableColumn id="5" name="Total Pay" dataDxfId="26" dataCellStyle="Currency"/>
    <tableColumn id="6" name="Percent of_x000a_Total" dataDxfId="25" dataCellStyle="Percent"/>
    <tableColumn id="7" name="Days Worked _x000a_(Rounded)" dataDxfId="24"/>
  </tableColumns>
  <tableStyleInfo name="TableStyleMedium11" showFirstColumn="0" showLastColumn="0" showRowStripes="1" showColumnStripes="0"/>
</table>
</file>

<file path=xl/tables/table2.xml><?xml version="1.0" encoding="utf-8"?>
<table xmlns="http://schemas.openxmlformats.org/spreadsheetml/2006/main" id="4" name="Table4" displayName="Table4" ref="B4:C9" headerRowDxfId="2">
  <autoFilter ref="B4:C9"/>
  <tableColumns count="2">
    <tableColumn id="1" name="Ratings " totalsRowLabel="Total" dataDxfId="1" totalsRowDxfId="0"/>
    <tableColumn id="2" name="Comments" totalsRowFunction="count"/>
  </tableColumns>
  <tableStyleInfo name="TableStyleLight13" showFirstColumn="0" showLastColumn="0" showRowStripes="1" showColumn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Ordered_Date1" sourceName="Ordered Date">
  <pivotTables>
    <pivotTable tabId="32" name="PivotTable9"/>
  </pivotTables>
  <state minimalRefreshVersion="6" lastRefreshVersion="6" pivotCacheId="3" filterType="dateBetween">
    <selection startDate="2019-01-01T00:00:00" endDate="2020-12-31T00:00:00"/>
    <bounds startDate="2018-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Ordered Date 1" cache="NativeTimeline_Ordered_Date1" caption="Ordered Date" level="1" selectionLevel="0" scrollPosition="2018-01-01T00:00:00" style="TimeSlicerStyleDark5"/>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microsoft.com/office/2011/relationships/timeline" Target="../timelines/timeline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249977111117893"/>
  </sheetPr>
  <dimension ref="A2:M143"/>
  <sheetViews>
    <sheetView topLeftCell="A42" zoomScale="80" zoomScaleNormal="80" workbookViewId="0">
      <selection activeCell="D2" sqref="D2"/>
    </sheetView>
  </sheetViews>
  <sheetFormatPr defaultColWidth="8.54296875" defaultRowHeight="14.5" x14ac:dyDescent="0.35"/>
  <cols>
    <col min="2" max="2" width="25.26953125" bestFit="1" customWidth="1"/>
    <col min="3" max="3" width="16.08984375" bestFit="1" customWidth="1"/>
    <col min="4" max="4" width="74.36328125" customWidth="1"/>
    <col min="5" max="5" width="67.7265625" customWidth="1"/>
    <col min="6" max="6" width="8.54296875" customWidth="1"/>
    <col min="13" max="13" width="10.81640625" customWidth="1"/>
  </cols>
  <sheetData>
    <row r="2" spans="2:13" ht="15.5" x14ac:dyDescent="0.35">
      <c r="B2" s="319" t="s">
        <v>1116</v>
      </c>
    </row>
    <row r="4" spans="2:13" ht="23.5" x14ac:dyDescent="0.35">
      <c r="B4" s="326" t="s">
        <v>915</v>
      </c>
      <c r="C4" s="327"/>
      <c r="D4" s="327"/>
      <c r="E4" s="328"/>
      <c r="F4" s="262"/>
      <c r="G4" s="262"/>
      <c r="H4" s="262"/>
      <c r="I4" s="262"/>
      <c r="J4" s="262"/>
      <c r="K4" s="262"/>
      <c r="L4" s="262"/>
      <c r="M4" s="262"/>
    </row>
    <row r="22" spans="2:5" ht="15.5" x14ac:dyDescent="0.35">
      <c r="B22" s="240"/>
      <c r="C22" s="240"/>
      <c r="D22" s="240"/>
      <c r="E22" s="240"/>
    </row>
    <row r="23" spans="2:5" ht="15.5" x14ac:dyDescent="0.35">
      <c r="B23" s="241"/>
      <c r="C23" s="10"/>
      <c r="D23" s="242"/>
      <c r="E23" s="10"/>
    </row>
    <row r="24" spans="2:5" ht="15.5" x14ac:dyDescent="0.35">
      <c r="B24" s="241"/>
      <c r="C24" s="10"/>
      <c r="D24" s="242"/>
      <c r="E24" s="10"/>
    </row>
    <row r="25" spans="2:5" ht="15.5" x14ac:dyDescent="0.35">
      <c r="B25" s="241"/>
      <c r="C25" s="10"/>
      <c r="D25" s="242"/>
      <c r="E25" s="10"/>
    </row>
    <row r="26" spans="2:5" ht="15.5" x14ac:dyDescent="0.35">
      <c r="B26" s="241"/>
      <c r="C26" s="10"/>
      <c r="D26" s="242"/>
      <c r="E26" s="10"/>
    </row>
    <row r="27" spans="2:5" ht="15.5" x14ac:dyDescent="0.35">
      <c r="B27" s="241"/>
      <c r="C27" s="10"/>
      <c r="D27" s="242"/>
      <c r="E27" s="10"/>
    </row>
    <row r="28" spans="2:5" ht="15.5" customHeight="1" x14ac:dyDescent="0.35">
      <c r="B28" s="241"/>
      <c r="C28" s="10"/>
      <c r="D28" s="325"/>
      <c r="E28" s="10"/>
    </row>
    <row r="29" spans="2:5" x14ac:dyDescent="0.35">
      <c r="B29" s="241"/>
      <c r="C29" s="10"/>
      <c r="D29" s="325"/>
      <c r="E29" s="10"/>
    </row>
    <row r="30" spans="2:5" ht="15.5" x14ac:dyDescent="0.35">
      <c r="B30" s="241"/>
      <c r="C30" s="10"/>
      <c r="D30" s="242"/>
      <c r="E30" s="10"/>
    </row>
    <row r="31" spans="2:5" ht="15.5" x14ac:dyDescent="0.35">
      <c r="B31" s="241"/>
      <c r="C31" s="10"/>
      <c r="D31" s="242"/>
      <c r="E31" s="10"/>
    </row>
    <row r="32" spans="2:5" ht="15.5" x14ac:dyDescent="0.35">
      <c r="B32" s="241"/>
      <c r="C32" s="10"/>
      <c r="D32" s="242"/>
      <c r="E32" s="10"/>
    </row>
    <row r="33" spans="2:13" ht="15.5" x14ac:dyDescent="0.35">
      <c r="B33" s="238"/>
      <c r="D33" s="239"/>
    </row>
    <row r="34" spans="2:13" ht="15.5" x14ac:dyDescent="0.35">
      <c r="D34" s="239"/>
    </row>
    <row r="35" spans="2:13" ht="15.5" x14ac:dyDescent="0.35">
      <c r="D35" s="239"/>
    </row>
    <row r="36" spans="2:13" ht="22.5" customHeight="1" x14ac:dyDescent="0.35">
      <c r="D36" s="239"/>
    </row>
    <row r="37" spans="2:13" ht="14.5" customHeight="1" x14ac:dyDescent="0.35"/>
    <row r="38" spans="2:13" ht="23.5" x14ac:dyDescent="0.35">
      <c r="B38" s="326" t="s">
        <v>921</v>
      </c>
      <c r="C38" s="327"/>
      <c r="D38" s="327"/>
      <c r="E38" s="328"/>
      <c r="F38" s="262"/>
      <c r="G38" s="262"/>
      <c r="H38" s="262"/>
      <c r="I38" s="262"/>
      <c r="J38" s="262"/>
      <c r="K38" s="262"/>
      <c r="L38" s="262"/>
      <c r="M38" s="262"/>
    </row>
    <row r="39" spans="2:13" ht="15" thickBot="1" x14ac:dyDescent="0.4"/>
    <row r="40" spans="2:13" ht="18" thickBot="1" x14ac:dyDescent="0.4">
      <c r="B40" s="272" t="s">
        <v>922</v>
      </c>
      <c r="C40" s="273" t="s">
        <v>923</v>
      </c>
      <c r="D40" s="273" t="s">
        <v>924</v>
      </c>
      <c r="E40" s="274" t="s">
        <v>1090</v>
      </c>
      <c r="F40" s="263"/>
    </row>
    <row r="41" spans="2:13" ht="15.5" x14ac:dyDescent="0.35">
      <c r="B41" s="275" t="s">
        <v>925</v>
      </c>
      <c r="C41" s="279" t="s">
        <v>925</v>
      </c>
      <c r="D41" s="269" t="s">
        <v>926</v>
      </c>
      <c r="E41" s="265"/>
    </row>
    <row r="42" spans="2:13" ht="15.5" x14ac:dyDescent="0.35">
      <c r="B42" s="276" t="s">
        <v>927</v>
      </c>
      <c r="C42" s="280" t="s">
        <v>925</v>
      </c>
      <c r="D42" s="270" t="s">
        <v>928</v>
      </c>
      <c r="E42" s="266"/>
    </row>
    <row r="43" spans="2:13" ht="31" x14ac:dyDescent="0.35">
      <c r="B43" s="276" t="s">
        <v>927</v>
      </c>
      <c r="C43" s="280" t="s">
        <v>925</v>
      </c>
      <c r="D43" s="270" t="s">
        <v>929</v>
      </c>
      <c r="E43" s="266"/>
    </row>
    <row r="44" spans="2:13" ht="31" x14ac:dyDescent="0.35">
      <c r="B44" s="276" t="s">
        <v>724</v>
      </c>
      <c r="C44" s="280" t="s">
        <v>930</v>
      </c>
      <c r="D44" s="270" t="s">
        <v>931</v>
      </c>
      <c r="E44" s="266"/>
    </row>
    <row r="45" spans="2:13" ht="15.5" x14ac:dyDescent="0.35">
      <c r="B45" s="276" t="s">
        <v>724</v>
      </c>
      <c r="C45" s="280" t="s">
        <v>932</v>
      </c>
      <c r="D45" s="270" t="s">
        <v>933</v>
      </c>
      <c r="E45" s="266"/>
    </row>
    <row r="46" spans="2:13" ht="31" x14ac:dyDescent="0.35">
      <c r="B46" s="276" t="s">
        <v>724</v>
      </c>
      <c r="C46" s="280" t="s">
        <v>934</v>
      </c>
      <c r="D46" s="270" t="s">
        <v>935</v>
      </c>
      <c r="E46" s="266"/>
    </row>
    <row r="47" spans="2:13" ht="130" customHeight="1" x14ac:dyDescent="0.35">
      <c r="B47" s="276" t="s">
        <v>724</v>
      </c>
      <c r="C47" s="280" t="s">
        <v>936</v>
      </c>
      <c r="D47" s="270" t="s">
        <v>937</v>
      </c>
      <c r="E47" s="266"/>
    </row>
    <row r="48" spans="2:13" ht="131.5" customHeight="1" x14ac:dyDescent="0.35">
      <c r="B48" s="277" t="s">
        <v>724</v>
      </c>
      <c r="C48" s="280" t="s">
        <v>1075</v>
      </c>
      <c r="D48" s="270" t="s">
        <v>1076</v>
      </c>
      <c r="E48" s="266"/>
    </row>
    <row r="49" spans="2:6" ht="147.5" customHeight="1" x14ac:dyDescent="0.35">
      <c r="B49" s="277" t="s">
        <v>724</v>
      </c>
      <c r="C49" s="280" t="s">
        <v>1077</v>
      </c>
      <c r="D49" s="270" t="s">
        <v>1078</v>
      </c>
      <c r="E49" s="266"/>
    </row>
    <row r="50" spans="2:6" ht="15.5" x14ac:dyDescent="0.35">
      <c r="B50" s="323" t="s">
        <v>724</v>
      </c>
      <c r="C50" s="324" t="s">
        <v>925</v>
      </c>
      <c r="D50" s="270" t="s">
        <v>1079</v>
      </c>
      <c r="E50" s="266"/>
    </row>
    <row r="51" spans="2:6" ht="15.5" x14ac:dyDescent="0.35">
      <c r="B51" s="323"/>
      <c r="C51" s="324"/>
      <c r="D51" s="270" t="s">
        <v>1080</v>
      </c>
      <c r="E51" s="266"/>
    </row>
    <row r="52" spans="2:6" ht="31" x14ac:dyDescent="0.35">
      <c r="B52" s="277" t="s">
        <v>724</v>
      </c>
      <c r="C52" s="280" t="s">
        <v>925</v>
      </c>
      <c r="D52" s="270" t="s">
        <v>1081</v>
      </c>
      <c r="E52" s="266"/>
    </row>
    <row r="53" spans="2:6" ht="31" x14ac:dyDescent="0.35">
      <c r="B53" s="277" t="s">
        <v>724</v>
      </c>
      <c r="C53" s="280" t="s">
        <v>925</v>
      </c>
      <c r="D53" s="270" t="s">
        <v>1082</v>
      </c>
      <c r="E53" s="266"/>
    </row>
    <row r="54" spans="2:6" ht="31" x14ac:dyDescent="0.35">
      <c r="B54" s="277" t="s">
        <v>724</v>
      </c>
      <c r="C54" s="280" t="s">
        <v>925</v>
      </c>
      <c r="D54" s="270" t="s">
        <v>1083</v>
      </c>
      <c r="E54" s="266"/>
    </row>
    <row r="55" spans="2:6" ht="32" customHeight="1" x14ac:dyDescent="0.35">
      <c r="B55" s="277" t="s">
        <v>723</v>
      </c>
      <c r="C55" s="280" t="s">
        <v>938</v>
      </c>
      <c r="D55" s="270" t="s">
        <v>939</v>
      </c>
      <c r="E55" s="266"/>
    </row>
    <row r="56" spans="2:6" ht="31" x14ac:dyDescent="0.35">
      <c r="B56" s="277" t="s">
        <v>723</v>
      </c>
      <c r="C56" s="280" t="s">
        <v>925</v>
      </c>
      <c r="D56" s="270" t="s">
        <v>940</v>
      </c>
      <c r="E56" s="266"/>
    </row>
    <row r="57" spans="2:6" ht="51.5" customHeight="1" x14ac:dyDescent="0.35">
      <c r="B57" s="277" t="s">
        <v>723</v>
      </c>
      <c r="C57" s="280" t="s">
        <v>941</v>
      </c>
      <c r="D57" s="270" t="s">
        <v>942</v>
      </c>
      <c r="E57" s="266"/>
    </row>
    <row r="58" spans="2:6" ht="179.5" customHeight="1" x14ac:dyDescent="0.35">
      <c r="B58" s="323" t="s">
        <v>727</v>
      </c>
      <c r="C58" s="324" t="s">
        <v>925</v>
      </c>
      <c r="D58" s="322" t="s">
        <v>943</v>
      </c>
      <c r="E58" s="267" t="s">
        <v>1084</v>
      </c>
      <c r="F58" s="264"/>
    </row>
    <row r="59" spans="2:6" ht="158" customHeight="1" x14ac:dyDescent="0.35">
      <c r="B59" s="323"/>
      <c r="C59" s="324"/>
      <c r="D59" s="322"/>
      <c r="E59" s="267" t="s">
        <v>1085</v>
      </c>
      <c r="F59" s="264"/>
    </row>
    <row r="60" spans="2:6" ht="150" customHeight="1" x14ac:dyDescent="0.35">
      <c r="B60" s="323"/>
      <c r="C60" s="324"/>
      <c r="D60" s="322"/>
      <c r="E60" s="267" t="s">
        <v>1091</v>
      </c>
      <c r="F60" s="264"/>
    </row>
    <row r="61" spans="2:6" ht="15.5" x14ac:dyDescent="0.35">
      <c r="B61" s="277" t="s">
        <v>727</v>
      </c>
      <c r="C61" s="280" t="s">
        <v>925</v>
      </c>
      <c r="D61" s="270" t="s">
        <v>944</v>
      </c>
      <c r="E61" s="266"/>
      <c r="F61" s="264"/>
    </row>
    <row r="62" spans="2:6" ht="14.5" customHeight="1" x14ac:dyDescent="0.35">
      <c r="B62" s="323" t="s">
        <v>727</v>
      </c>
      <c r="C62" s="324" t="s">
        <v>925</v>
      </c>
      <c r="D62" s="322" t="s">
        <v>1074</v>
      </c>
      <c r="E62" s="266"/>
      <c r="F62" s="264"/>
    </row>
    <row r="63" spans="2:6" ht="14.5" customHeight="1" x14ac:dyDescent="0.35">
      <c r="B63" s="323"/>
      <c r="C63" s="324"/>
      <c r="D63" s="322"/>
      <c r="E63" s="266"/>
    </row>
    <row r="64" spans="2:6" ht="15.5" x14ac:dyDescent="0.35">
      <c r="B64" s="277" t="s">
        <v>750</v>
      </c>
      <c r="C64" s="280" t="s">
        <v>925</v>
      </c>
      <c r="D64" s="270" t="s">
        <v>945</v>
      </c>
      <c r="E64" s="266"/>
    </row>
    <row r="65" spans="2:5" ht="15.5" x14ac:dyDescent="0.35">
      <c r="B65" s="277" t="s">
        <v>946</v>
      </c>
      <c r="C65" s="280" t="s">
        <v>947</v>
      </c>
      <c r="D65" s="270" t="s">
        <v>948</v>
      </c>
      <c r="E65" s="266"/>
    </row>
    <row r="66" spans="2:5" ht="15.5" x14ac:dyDescent="0.35">
      <c r="B66" s="277" t="s">
        <v>946</v>
      </c>
      <c r="C66" s="280" t="s">
        <v>949</v>
      </c>
      <c r="D66" s="270" t="s">
        <v>950</v>
      </c>
      <c r="E66" s="266"/>
    </row>
    <row r="67" spans="2:5" ht="15.5" x14ac:dyDescent="0.35">
      <c r="B67" s="277" t="s">
        <v>946</v>
      </c>
      <c r="C67" s="280" t="s">
        <v>951</v>
      </c>
      <c r="D67" s="270" t="s">
        <v>952</v>
      </c>
      <c r="E67" s="266"/>
    </row>
    <row r="68" spans="2:5" ht="31" x14ac:dyDescent="0.35">
      <c r="B68" s="277" t="s">
        <v>946</v>
      </c>
      <c r="C68" s="280" t="s">
        <v>953</v>
      </c>
      <c r="D68" s="270" t="s">
        <v>954</v>
      </c>
      <c r="E68" s="266"/>
    </row>
    <row r="69" spans="2:5" x14ac:dyDescent="0.35">
      <c r="B69" s="323" t="s">
        <v>946</v>
      </c>
      <c r="C69" s="324" t="s">
        <v>955</v>
      </c>
      <c r="D69" s="322" t="s">
        <v>956</v>
      </c>
      <c r="E69" s="266"/>
    </row>
    <row r="70" spans="2:5" x14ac:dyDescent="0.35">
      <c r="B70" s="323"/>
      <c r="C70" s="324"/>
      <c r="D70" s="322"/>
      <c r="E70" s="266"/>
    </row>
    <row r="71" spans="2:5" ht="31" x14ac:dyDescent="0.35">
      <c r="B71" s="277" t="s">
        <v>781</v>
      </c>
      <c r="C71" s="280" t="s">
        <v>957</v>
      </c>
      <c r="D71" s="270" t="s">
        <v>958</v>
      </c>
      <c r="E71" s="266"/>
    </row>
    <row r="72" spans="2:5" ht="31" x14ac:dyDescent="0.35">
      <c r="B72" s="277" t="s">
        <v>781</v>
      </c>
      <c r="C72" s="280" t="s">
        <v>959</v>
      </c>
      <c r="D72" s="270" t="s">
        <v>960</v>
      </c>
      <c r="E72" s="266"/>
    </row>
    <row r="73" spans="2:5" ht="45.5" customHeight="1" x14ac:dyDescent="0.35">
      <c r="B73" s="277" t="s">
        <v>781</v>
      </c>
      <c r="C73" s="280" t="s">
        <v>961</v>
      </c>
      <c r="D73" s="270" t="s">
        <v>962</v>
      </c>
      <c r="E73" s="266"/>
    </row>
    <row r="74" spans="2:5" ht="51.5" customHeight="1" x14ac:dyDescent="0.35">
      <c r="B74" s="277" t="s">
        <v>781</v>
      </c>
      <c r="C74" s="280" t="s">
        <v>963</v>
      </c>
      <c r="D74" s="270" t="s">
        <v>964</v>
      </c>
      <c r="E74" s="266"/>
    </row>
    <row r="75" spans="2:5" ht="15.5" x14ac:dyDescent="0.35">
      <c r="B75" s="277" t="s">
        <v>781</v>
      </c>
      <c r="C75" s="280" t="s">
        <v>965</v>
      </c>
      <c r="D75" s="270" t="s">
        <v>966</v>
      </c>
      <c r="E75" s="266"/>
    </row>
    <row r="76" spans="2:5" ht="31" x14ac:dyDescent="0.35">
      <c r="B76" s="277" t="s">
        <v>781</v>
      </c>
      <c r="C76" s="280" t="s">
        <v>925</v>
      </c>
      <c r="D76" s="270" t="s">
        <v>967</v>
      </c>
      <c r="E76" s="266"/>
    </row>
    <row r="77" spans="2:5" ht="31" x14ac:dyDescent="0.35">
      <c r="B77" s="277" t="s">
        <v>781</v>
      </c>
      <c r="C77" s="280" t="s">
        <v>968</v>
      </c>
      <c r="D77" s="270" t="s">
        <v>969</v>
      </c>
      <c r="E77" s="266"/>
    </row>
    <row r="78" spans="2:5" ht="46.5" x14ac:dyDescent="0.35">
      <c r="B78" s="277" t="s">
        <v>781</v>
      </c>
      <c r="C78" s="280" t="s">
        <v>970</v>
      </c>
      <c r="D78" s="270" t="s">
        <v>971</v>
      </c>
      <c r="E78" s="266"/>
    </row>
    <row r="79" spans="2:5" ht="15.5" x14ac:dyDescent="0.35">
      <c r="B79" s="277" t="s">
        <v>781</v>
      </c>
      <c r="C79" s="280" t="s">
        <v>972</v>
      </c>
      <c r="D79" s="270" t="s">
        <v>973</v>
      </c>
      <c r="E79" s="266"/>
    </row>
    <row r="80" spans="2:5" ht="31" x14ac:dyDescent="0.35">
      <c r="B80" s="277" t="s">
        <v>781</v>
      </c>
      <c r="C80" s="280" t="s">
        <v>974</v>
      </c>
      <c r="D80" s="270" t="s">
        <v>975</v>
      </c>
      <c r="E80" s="266"/>
    </row>
    <row r="81" spans="2:5" ht="31" x14ac:dyDescent="0.35">
      <c r="B81" s="277" t="s">
        <v>781</v>
      </c>
      <c r="C81" s="280" t="s">
        <v>976</v>
      </c>
      <c r="D81" s="270" t="s">
        <v>977</v>
      </c>
      <c r="E81" s="266"/>
    </row>
    <row r="82" spans="2:5" ht="15.5" x14ac:dyDescent="0.35">
      <c r="B82" s="277" t="s">
        <v>781</v>
      </c>
      <c r="C82" s="280" t="s">
        <v>978</v>
      </c>
      <c r="D82" s="270" t="s">
        <v>979</v>
      </c>
      <c r="E82" s="266"/>
    </row>
    <row r="83" spans="2:5" ht="44.5" customHeight="1" x14ac:dyDescent="0.35">
      <c r="B83" s="277" t="s">
        <v>980</v>
      </c>
      <c r="C83" s="280" t="s">
        <v>981</v>
      </c>
      <c r="D83" s="270" t="s">
        <v>982</v>
      </c>
      <c r="E83" s="266"/>
    </row>
    <row r="84" spans="2:5" ht="38" customHeight="1" x14ac:dyDescent="0.35">
      <c r="B84" s="277" t="s">
        <v>983</v>
      </c>
      <c r="C84" s="280" t="s">
        <v>984</v>
      </c>
      <c r="D84" s="270" t="s">
        <v>985</v>
      </c>
      <c r="E84" s="266"/>
    </row>
    <row r="85" spans="2:5" ht="15.5" x14ac:dyDescent="0.35">
      <c r="B85" s="277" t="s">
        <v>980</v>
      </c>
      <c r="C85" s="280" t="s">
        <v>986</v>
      </c>
      <c r="D85" s="270" t="s">
        <v>987</v>
      </c>
      <c r="E85" s="266"/>
    </row>
    <row r="86" spans="2:5" ht="43" customHeight="1" x14ac:dyDescent="0.35">
      <c r="B86" s="277" t="s">
        <v>980</v>
      </c>
      <c r="C86" s="280" t="s">
        <v>988</v>
      </c>
      <c r="D86" s="270" t="s">
        <v>989</v>
      </c>
      <c r="E86" s="266"/>
    </row>
    <row r="87" spans="2:5" ht="43" customHeight="1" x14ac:dyDescent="0.35">
      <c r="B87" s="277" t="s">
        <v>980</v>
      </c>
      <c r="C87" s="280" t="s">
        <v>990</v>
      </c>
      <c r="D87" s="270" t="s">
        <v>991</v>
      </c>
      <c r="E87" s="266"/>
    </row>
    <row r="88" spans="2:5" ht="31" x14ac:dyDescent="0.35">
      <c r="B88" s="277" t="s">
        <v>980</v>
      </c>
      <c r="C88" s="280" t="s">
        <v>925</v>
      </c>
      <c r="D88" s="270" t="s">
        <v>992</v>
      </c>
      <c r="E88" s="266"/>
    </row>
    <row r="89" spans="2:5" ht="40" customHeight="1" x14ac:dyDescent="0.35">
      <c r="B89" s="277" t="s">
        <v>807</v>
      </c>
      <c r="C89" s="280" t="s">
        <v>993</v>
      </c>
      <c r="D89" s="270" t="s">
        <v>994</v>
      </c>
      <c r="E89" s="266"/>
    </row>
    <row r="90" spans="2:5" ht="31" x14ac:dyDescent="0.35">
      <c r="B90" s="277" t="s">
        <v>807</v>
      </c>
      <c r="C90" s="280" t="s">
        <v>995</v>
      </c>
      <c r="D90" s="270" t="s">
        <v>996</v>
      </c>
      <c r="E90" s="266"/>
    </row>
    <row r="91" spans="2:5" ht="31" x14ac:dyDescent="0.35">
      <c r="B91" s="277" t="s">
        <v>807</v>
      </c>
      <c r="C91" s="280" t="s">
        <v>925</v>
      </c>
      <c r="D91" s="270" t="s">
        <v>997</v>
      </c>
      <c r="E91" s="266"/>
    </row>
    <row r="92" spans="2:5" ht="31" x14ac:dyDescent="0.35">
      <c r="B92" s="277" t="s">
        <v>807</v>
      </c>
      <c r="C92" s="280" t="s">
        <v>998</v>
      </c>
      <c r="D92" s="270" t="s">
        <v>999</v>
      </c>
      <c r="E92" s="266"/>
    </row>
    <row r="93" spans="2:5" ht="31" x14ac:dyDescent="0.35">
      <c r="B93" s="277" t="s">
        <v>807</v>
      </c>
      <c r="C93" s="280" t="s">
        <v>1000</v>
      </c>
      <c r="D93" s="270" t="s">
        <v>1001</v>
      </c>
      <c r="E93" s="266"/>
    </row>
    <row r="94" spans="2:5" ht="31" x14ac:dyDescent="0.35">
      <c r="B94" s="277" t="s">
        <v>807</v>
      </c>
      <c r="C94" s="280" t="s">
        <v>1002</v>
      </c>
      <c r="D94" s="270" t="s">
        <v>1003</v>
      </c>
      <c r="E94" s="266"/>
    </row>
    <row r="95" spans="2:5" ht="15.5" x14ac:dyDescent="0.35">
      <c r="B95" s="277" t="s">
        <v>807</v>
      </c>
      <c r="C95" s="280" t="s">
        <v>1004</v>
      </c>
      <c r="D95" s="270" t="s">
        <v>1005</v>
      </c>
      <c r="E95" s="266"/>
    </row>
    <row r="96" spans="2:5" ht="31" x14ac:dyDescent="0.35">
      <c r="B96" s="277" t="s">
        <v>807</v>
      </c>
      <c r="C96" s="280" t="s">
        <v>925</v>
      </c>
      <c r="D96" s="270" t="s">
        <v>1006</v>
      </c>
      <c r="E96" s="266"/>
    </row>
    <row r="97" spans="2:5" ht="15.5" x14ac:dyDescent="0.35">
      <c r="B97" s="277" t="s">
        <v>807</v>
      </c>
      <c r="C97" s="280" t="s">
        <v>925</v>
      </c>
      <c r="D97" s="270" t="s">
        <v>1007</v>
      </c>
      <c r="E97" s="266"/>
    </row>
    <row r="98" spans="2:5" ht="15.5" x14ac:dyDescent="0.35">
      <c r="B98" s="277" t="s">
        <v>807</v>
      </c>
      <c r="C98" s="280" t="s">
        <v>925</v>
      </c>
      <c r="D98" s="270" t="s">
        <v>1008</v>
      </c>
      <c r="E98" s="266"/>
    </row>
    <row r="99" spans="2:5" ht="15.5" x14ac:dyDescent="0.35">
      <c r="B99" s="277" t="s">
        <v>807</v>
      </c>
      <c r="C99" s="280" t="s">
        <v>925</v>
      </c>
      <c r="D99" s="270" t="s">
        <v>1009</v>
      </c>
      <c r="E99" s="266"/>
    </row>
    <row r="100" spans="2:5" ht="46.5" x14ac:dyDescent="0.35">
      <c r="B100" s="277" t="s">
        <v>807</v>
      </c>
      <c r="C100" s="280" t="s">
        <v>1010</v>
      </c>
      <c r="D100" s="270" t="s">
        <v>1011</v>
      </c>
      <c r="E100" s="266"/>
    </row>
    <row r="101" spans="2:5" ht="15.5" x14ac:dyDescent="0.35">
      <c r="B101" s="277" t="s">
        <v>807</v>
      </c>
      <c r="C101" s="280" t="s">
        <v>925</v>
      </c>
      <c r="D101" s="270" t="s">
        <v>1012</v>
      </c>
      <c r="E101" s="266"/>
    </row>
    <row r="102" spans="2:5" ht="15.5" x14ac:dyDescent="0.35">
      <c r="B102" s="277" t="s">
        <v>807</v>
      </c>
      <c r="C102" s="280" t="s">
        <v>925</v>
      </c>
      <c r="D102" s="270" t="s">
        <v>1013</v>
      </c>
      <c r="E102" s="266"/>
    </row>
    <row r="103" spans="2:5" ht="15.5" x14ac:dyDescent="0.35">
      <c r="B103" s="277" t="s">
        <v>807</v>
      </c>
      <c r="C103" s="280" t="s">
        <v>925</v>
      </c>
      <c r="D103" s="270" t="s">
        <v>1014</v>
      </c>
      <c r="E103" s="266"/>
    </row>
    <row r="104" spans="2:5" ht="15.5" x14ac:dyDescent="0.35">
      <c r="B104" s="277" t="s">
        <v>807</v>
      </c>
      <c r="C104" s="280" t="s">
        <v>925</v>
      </c>
      <c r="D104" s="270" t="s">
        <v>1015</v>
      </c>
      <c r="E104" s="266"/>
    </row>
    <row r="105" spans="2:5" ht="31" x14ac:dyDescent="0.35">
      <c r="B105" s="277" t="s">
        <v>807</v>
      </c>
      <c r="C105" s="280" t="s">
        <v>925</v>
      </c>
      <c r="D105" s="270" t="s">
        <v>1016</v>
      </c>
      <c r="E105" s="266"/>
    </row>
    <row r="106" spans="2:5" ht="15.5" x14ac:dyDescent="0.35">
      <c r="B106" s="277" t="s">
        <v>821</v>
      </c>
      <c r="C106" s="280" t="s">
        <v>1017</v>
      </c>
      <c r="D106" s="270" t="s">
        <v>1018</v>
      </c>
      <c r="E106" s="266"/>
    </row>
    <row r="107" spans="2:5" ht="31" x14ac:dyDescent="0.35">
      <c r="B107" s="277" t="s">
        <v>821</v>
      </c>
      <c r="C107" s="280" t="s">
        <v>1019</v>
      </c>
      <c r="D107" s="270" t="s">
        <v>1020</v>
      </c>
      <c r="E107" s="266"/>
    </row>
    <row r="108" spans="2:5" ht="15.5" x14ac:dyDescent="0.35">
      <c r="B108" s="277" t="s">
        <v>821</v>
      </c>
      <c r="C108" s="280" t="s">
        <v>1021</v>
      </c>
      <c r="D108" s="270" t="s">
        <v>1022</v>
      </c>
      <c r="E108" s="266"/>
    </row>
    <row r="109" spans="2:5" ht="46.5" customHeight="1" x14ac:dyDescent="0.35">
      <c r="B109" s="323" t="s">
        <v>821</v>
      </c>
      <c r="C109" s="324" t="s">
        <v>925</v>
      </c>
      <c r="D109" s="322" t="s">
        <v>1086</v>
      </c>
      <c r="E109" s="320"/>
    </row>
    <row r="110" spans="2:5" ht="15.5" customHeight="1" x14ac:dyDescent="0.35">
      <c r="B110" s="323"/>
      <c r="C110" s="324"/>
      <c r="D110" s="322"/>
      <c r="E110" s="320"/>
    </row>
    <row r="111" spans="2:5" ht="268.5" customHeight="1" x14ac:dyDescent="0.35">
      <c r="B111" s="323"/>
      <c r="C111" s="324"/>
      <c r="D111" s="322"/>
      <c r="E111" s="320"/>
    </row>
    <row r="112" spans="2:5" ht="31" customHeight="1" x14ac:dyDescent="0.35">
      <c r="B112" s="323" t="s">
        <v>821</v>
      </c>
      <c r="C112" s="324" t="s">
        <v>1023</v>
      </c>
      <c r="D112" s="322" t="s">
        <v>1087</v>
      </c>
      <c r="E112" s="320"/>
    </row>
    <row r="113" spans="1:5" ht="88.5" customHeight="1" x14ac:dyDescent="0.35">
      <c r="B113" s="323"/>
      <c r="C113" s="324"/>
      <c r="D113" s="322"/>
      <c r="E113" s="320"/>
    </row>
    <row r="114" spans="1:5" ht="238" customHeight="1" x14ac:dyDescent="0.35">
      <c r="B114" s="277" t="s">
        <v>821</v>
      </c>
      <c r="C114" s="280" t="s">
        <v>1024</v>
      </c>
      <c r="D114" s="270" t="s">
        <v>1025</v>
      </c>
      <c r="E114" s="266"/>
    </row>
    <row r="115" spans="1:5" ht="250" customHeight="1" x14ac:dyDescent="0.35">
      <c r="B115" s="277" t="s">
        <v>848</v>
      </c>
      <c r="C115" s="280" t="s">
        <v>1026</v>
      </c>
      <c r="D115" s="270" t="s">
        <v>1027</v>
      </c>
      <c r="E115" s="266"/>
    </row>
    <row r="116" spans="1:5" ht="276" customHeight="1" x14ac:dyDescent="0.35">
      <c r="B116" s="277" t="s">
        <v>848</v>
      </c>
      <c r="C116" s="280" t="s">
        <v>1026</v>
      </c>
      <c r="D116" s="270" t="s">
        <v>1028</v>
      </c>
      <c r="E116" s="266"/>
    </row>
    <row r="117" spans="1:5" ht="15.5" x14ac:dyDescent="0.35">
      <c r="B117" s="277" t="s">
        <v>848</v>
      </c>
      <c r="C117" s="280" t="s">
        <v>1029</v>
      </c>
      <c r="D117" s="270" t="s">
        <v>1030</v>
      </c>
      <c r="E117" s="266"/>
    </row>
    <row r="118" spans="1:5" ht="31" customHeight="1" x14ac:dyDescent="0.35">
      <c r="B118" s="323" t="s">
        <v>848</v>
      </c>
      <c r="C118" s="324" t="s">
        <v>1029</v>
      </c>
      <c r="D118" s="322" t="s">
        <v>1088</v>
      </c>
      <c r="E118" s="320"/>
    </row>
    <row r="119" spans="1:5" ht="264" customHeight="1" x14ac:dyDescent="0.35">
      <c r="B119" s="323"/>
      <c r="C119" s="324"/>
      <c r="D119" s="322"/>
      <c r="E119" s="320"/>
    </row>
    <row r="120" spans="1:5" ht="192.5" customHeight="1" x14ac:dyDescent="0.35">
      <c r="B120" s="277" t="s">
        <v>848</v>
      </c>
      <c r="C120" s="280" t="s">
        <v>1031</v>
      </c>
      <c r="D120" s="270" t="s">
        <v>1032</v>
      </c>
      <c r="E120" s="266"/>
    </row>
    <row r="121" spans="1:5" ht="120.5" customHeight="1" x14ac:dyDescent="0.35">
      <c r="A121" s="321"/>
      <c r="B121" s="323" t="s">
        <v>848</v>
      </c>
      <c r="C121" s="324" t="s">
        <v>1033</v>
      </c>
      <c r="D121" s="322" t="s">
        <v>1089</v>
      </c>
      <c r="E121" s="320"/>
    </row>
    <row r="122" spans="1:5" ht="92.5" customHeight="1" x14ac:dyDescent="0.35">
      <c r="A122" s="321"/>
      <c r="B122" s="323"/>
      <c r="C122" s="324"/>
      <c r="D122" s="322"/>
      <c r="E122" s="320"/>
    </row>
    <row r="123" spans="1:5" ht="190.5" customHeight="1" x14ac:dyDescent="0.35">
      <c r="B123" s="277" t="s">
        <v>848</v>
      </c>
      <c r="C123" s="280" t="s">
        <v>1034</v>
      </c>
      <c r="D123" s="270" t="s">
        <v>1035</v>
      </c>
      <c r="E123" s="266"/>
    </row>
    <row r="124" spans="1:5" ht="15.5" x14ac:dyDescent="0.35">
      <c r="B124" s="277" t="s">
        <v>848</v>
      </c>
      <c r="C124" s="280" t="s">
        <v>1036</v>
      </c>
      <c r="D124" s="270" t="s">
        <v>1037</v>
      </c>
      <c r="E124" s="266"/>
    </row>
    <row r="125" spans="1:5" ht="51.5" customHeight="1" x14ac:dyDescent="0.35">
      <c r="B125" s="277" t="s">
        <v>848</v>
      </c>
      <c r="C125" s="280" t="s">
        <v>1038</v>
      </c>
      <c r="D125" s="270" t="s">
        <v>1039</v>
      </c>
      <c r="E125" s="266"/>
    </row>
    <row r="126" spans="1:5" ht="243" customHeight="1" x14ac:dyDescent="0.35">
      <c r="B126" s="277" t="s">
        <v>848</v>
      </c>
      <c r="C126" s="280" t="s">
        <v>1038</v>
      </c>
      <c r="D126" s="270" t="s">
        <v>1040</v>
      </c>
      <c r="E126" s="266"/>
    </row>
    <row r="127" spans="1:5" ht="15.5" x14ac:dyDescent="0.35">
      <c r="B127" s="277" t="s">
        <v>848</v>
      </c>
      <c r="C127" s="280" t="s">
        <v>1041</v>
      </c>
      <c r="D127" s="270" t="s">
        <v>1042</v>
      </c>
      <c r="E127" s="266"/>
    </row>
    <row r="128" spans="1:5" ht="15.5" x14ac:dyDescent="0.35">
      <c r="B128" s="277" t="s">
        <v>848</v>
      </c>
      <c r="C128" s="280" t="s">
        <v>1043</v>
      </c>
      <c r="D128" s="270" t="s">
        <v>1044</v>
      </c>
      <c r="E128" s="266"/>
    </row>
    <row r="129" spans="2:5" ht="15.5" x14ac:dyDescent="0.35">
      <c r="B129" s="277" t="s">
        <v>848</v>
      </c>
      <c r="C129" s="280" t="s">
        <v>1045</v>
      </c>
      <c r="D129" s="270" t="s">
        <v>1046</v>
      </c>
      <c r="E129" s="266"/>
    </row>
    <row r="130" spans="2:5" ht="46.5" x14ac:dyDescent="0.35">
      <c r="B130" s="277" t="s">
        <v>848</v>
      </c>
      <c r="C130" s="280" t="s">
        <v>1047</v>
      </c>
      <c r="D130" s="270" t="s">
        <v>1048</v>
      </c>
      <c r="E130" s="266"/>
    </row>
    <row r="131" spans="2:5" ht="46.5" x14ac:dyDescent="0.35">
      <c r="B131" s="277" t="s">
        <v>848</v>
      </c>
      <c r="C131" s="280" t="s">
        <v>925</v>
      </c>
      <c r="D131" s="270" t="s">
        <v>1049</v>
      </c>
      <c r="E131" s="266"/>
    </row>
    <row r="132" spans="2:5" ht="31" x14ac:dyDescent="0.35">
      <c r="B132" s="277" t="s">
        <v>861</v>
      </c>
      <c r="C132" s="280" t="s">
        <v>1050</v>
      </c>
      <c r="D132" s="270" t="s">
        <v>1051</v>
      </c>
      <c r="E132" s="266"/>
    </row>
    <row r="133" spans="2:5" ht="15.5" x14ac:dyDescent="0.35">
      <c r="B133" s="277" t="s">
        <v>861</v>
      </c>
      <c r="C133" s="280" t="s">
        <v>1052</v>
      </c>
      <c r="D133" s="270" t="s">
        <v>1053</v>
      </c>
      <c r="E133" s="266"/>
    </row>
    <row r="134" spans="2:5" ht="15.5" x14ac:dyDescent="0.35">
      <c r="B134" s="277" t="s">
        <v>861</v>
      </c>
      <c r="C134" s="280" t="s">
        <v>1054</v>
      </c>
      <c r="D134" s="270" t="s">
        <v>1055</v>
      </c>
      <c r="E134" s="266"/>
    </row>
    <row r="135" spans="2:5" ht="31" x14ac:dyDescent="0.35">
      <c r="B135" s="277" t="s">
        <v>861</v>
      </c>
      <c r="C135" s="280" t="s">
        <v>1056</v>
      </c>
      <c r="D135" s="270" t="s">
        <v>1057</v>
      </c>
      <c r="E135" s="266"/>
    </row>
    <row r="136" spans="2:5" ht="31" x14ac:dyDescent="0.35">
      <c r="B136" s="277" t="s">
        <v>1058</v>
      </c>
      <c r="C136" s="280" t="s">
        <v>1059</v>
      </c>
      <c r="D136" s="270" t="s">
        <v>1060</v>
      </c>
      <c r="E136" s="266"/>
    </row>
    <row r="137" spans="2:5" ht="15.5" x14ac:dyDescent="0.35">
      <c r="B137" s="277" t="s">
        <v>861</v>
      </c>
      <c r="C137" s="280" t="s">
        <v>1061</v>
      </c>
      <c r="D137" s="270" t="s">
        <v>1062</v>
      </c>
      <c r="E137" s="266"/>
    </row>
    <row r="138" spans="2:5" ht="31" x14ac:dyDescent="0.35">
      <c r="B138" s="277" t="s">
        <v>861</v>
      </c>
      <c r="C138" s="280" t="s">
        <v>1063</v>
      </c>
      <c r="D138" s="270" t="s">
        <v>1064</v>
      </c>
      <c r="E138" s="266"/>
    </row>
    <row r="139" spans="2:5" ht="31" x14ac:dyDescent="0.35">
      <c r="B139" s="277" t="s">
        <v>881</v>
      </c>
      <c r="C139" s="280" t="s">
        <v>1065</v>
      </c>
      <c r="D139" s="270" t="s">
        <v>1066</v>
      </c>
      <c r="E139" s="266"/>
    </row>
    <row r="140" spans="2:5" ht="167" customHeight="1" x14ac:dyDescent="0.35">
      <c r="B140" s="277" t="s">
        <v>834</v>
      </c>
      <c r="C140" s="280" t="s">
        <v>1067</v>
      </c>
      <c r="D140" s="270" t="s">
        <v>1068</v>
      </c>
      <c r="E140" s="266"/>
    </row>
    <row r="141" spans="2:5" ht="31" x14ac:dyDescent="0.35">
      <c r="B141" s="277" t="s">
        <v>834</v>
      </c>
      <c r="C141" s="280" t="s">
        <v>1069</v>
      </c>
      <c r="D141" s="270" t="s">
        <v>1070</v>
      </c>
      <c r="E141" s="266"/>
    </row>
    <row r="142" spans="2:5" ht="31" x14ac:dyDescent="0.35">
      <c r="B142" s="277" t="s">
        <v>834</v>
      </c>
      <c r="C142" s="280" t="s">
        <v>1071</v>
      </c>
      <c r="D142" s="270" t="s">
        <v>1072</v>
      </c>
      <c r="E142" s="266"/>
    </row>
    <row r="143" spans="2:5" ht="31.5" thickBot="1" x14ac:dyDescent="0.4">
      <c r="B143" s="278" t="s">
        <v>834</v>
      </c>
      <c r="C143" s="281" t="s">
        <v>925</v>
      </c>
      <c r="D143" s="271" t="s">
        <v>1073</v>
      </c>
      <c r="E143" s="268"/>
    </row>
  </sheetData>
  <sheetProtection algorithmName="SHA-512" hashValue="xoMtM7HI3ZkNHYuo8JjKIFvWiEVMUkeJvpN9kZe0gvd5faPK8VLZjYChxq50L4uRnwTzJS2vhblKTwG0CS/iyw==" saltValue="KZeARBToky7JNmd6nGBVdQ==" spinCount="100000" sheet="1" objects="1" scenarios="1"/>
  <mergeCells count="31">
    <mergeCell ref="D28:D29"/>
    <mergeCell ref="B4:E4"/>
    <mergeCell ref="B38:E38"/>
    <mergeCell ref="B58:B60"/>
    <mergeCell ref="C58:C60"/>
    <mergeCell ref="D58:D60"/>
    <mergeCell ref="B50:B51"/>
    <mergeCell ref="C50:C51"/>
    <mergeCell ref="D62:D63"/>
    <mergeCell ref="D69:D70"/>
    <mergeCell ref="B109:B111"/>
    <mergeCell ref="C109:C111"/>
    <mergeCell ref="B62:B63"/>
    <mergeCell ref="C62:C63"/>
    <mergeCell ref="B69:B70"/>
    <mergeCell ref="C69:C70"/>
    <mergeCell ref="E121:E122"/>
    <mergeCell ref="A121:A122"/>
    <mergeCell ref="E109:E111"/>
    <mergeCell ref="D112:D113"/>
    <mergeCell ref="E112:E113"/>
    <mergeCell ref="D118:D119"/>
    <mergeCell ref="E118:E119"/>
    <mergeCell ref="B118:B119"/>
    <mergeCell ref="C118:C119"/>
    <mergeCell ref="B121:B122"/>
    <mergeCell ref="C121:C122"/>
    <mergeCell ref="D121:D122"/>
    <mergeCell ref="B112:B113"/>
    <mergeCell ref="C112:C113"/>
    <mergeCell ref="D109:D11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8" tint="0.59999389629810485"/>
  </sheetPr>
  <dimension ref="B2:X26"/>
  <sheetViews>
    <sheetView topLeftCell="A5" zoomScale="80" zoomScaleNormal="80" workbookViewId="0">
      <selection activeCell="F30" sqref="F30"/>
    </sheetView>
  </sheetViews>
  <sheetFormatPr defaultRowHeight="14.5" x14ac:dyDescent="0.35"/>
  <cols>
    <col min="1" max="1" width="4.6328125" customWidth="1"/>
    <col min="2" max="2" width="4.7265625" customWidth="1"/>
    <col min="3" max="3" width="19.08984375" bestFit="1" customWidth="1"/>
    <col min="4" max="4" width="4.81640625" customWidth="1"/>
    <col min="5" max="5" width="12.36328125" customWidth="1"/>
    <col min="6" max="8" width="4.7265625" customWidth="1"/>
    <col min="9" max="9" width="19.08984375" bestFit="1" customWidth="1"/>
    <col min="10" max="10" width="4.81640625" customWidth="1"/>
    <col min="11" max="11" width="12.36328125" customWidth="1"/>
    <col min="12" max="14" width="4.7265625" customWidth="1"/>
    <col min="15" max="15" width="19.08984375" bestFit="1" customWidth="1"/>
    <col min="16" max="16" width="4.81640625" customWidth="1"/>
    <col min="17" max="17" width="12.36328125" customWidth="1"/>
    <col min="18" max="20" width="4.7265625" customWidth="1"/>
    <col min="21" max="21" width="19.54296875" bestFit="1" customWidth="1"/>
    <col min="22" max="22" width="4.81640625" customWidth="1"/>
    <col min="23" max="23" width="12.36328125" customWidth="1"/>
    <col min="24" max="24" width="4.7265625" customWidth="1"/>
  </cols>
  <sheetData>
    <row r="2" spans="2:24" ht="23.5" x14ac:dyDescent="0.35">
      <c r="B2" s="326" t="s">
        <v>724</v>
      </c>
      <c r="C2" s="327"/>
      <c r="D2" s="327"/>
      <c r="E2" s="327"/>
      <c r="F2" s="327"/>
      <c r="G2" s="327"/>
      <c r="H2" s="327"/>
      <c r="I2" s="327"/>
      <c r="J2" s="327"/>
      <c r="K2" s="327"/>
      <c r="L2" s="327"/>
      <c r="M2" s="327"/>
      <c r="N2" s="327"/>
      <c r="O2" s="327"/>
      <c r="P2" s="327"/>
      <c r="Q2" s="327"/>
      <c r="R2" s="327"/>
      <c r="S2" s="327"/>
      <c r="T2" s="327"/>
      <c r="U2" s="327"/>
      <c r="V2" s="327"/>
      <c r="W2" s="327"/>
      <c r="X2" s="328"/>
    </row>
    <row r="3" spans="2:24" ht="15" thickBot="1" x14ac:dyDescent="0.4"/>
    <row r="4" spans="2:24" x14ac:dyDescent="0.35">
      <c r="B4" s="13"/>
      <c r="C4" s="14"/>
      <c r="D4" s="14"/>
      <c r="E4" s="14"/>
      <c r="F4" s="15"/>
      <c r="G4" s="10"/>
      <c r="H4" s="13"/>
      <c r="I4" s="14"/>
      <c r="J4" s="14"/>
      <c r="K4" s="14"/>
      <c r="L4" s="15"/>
      <c r="N4" s="13"/>
      <c r="O4" s="14"/>
      <c r="P4" s="14"/>
      <c r="Q4" s="14"/>
      <c r="R4" s="15"/>
      <c r="T4" s="13"/>
      <c r="U4" s="14"/>
      <c r="V4" s="14"/>
      <c r="W4" s="14"/>
      <c r="X4" s="15"/>
    </row>
    <row r="5" spans="2:24" ht="15.5" x14ac:dyDescent="0.35">
      <c r="B5" s="16"/>
      <c r="C5" s="24" t="s">
        <v>715</v>
      </c>
      <c r="D5" s="25"/>
      <c r="E5" s="26">
        <v>250000</v>
      </c>
      <c r="F5" s="27"/>
      <c r="G5" s="28"/>
      <c r="H5" s="29"/>
      <c r="I5" s="24" t="s">
        <v>715</v>
      </c>
      <c r="J5" s="25"/>
      <c r="K5" s="255">
        <v>143196.90175856082</v>
      </c>
      <c r="L5" s="27"/>
      <c r="M5" s="30"/>
      <c r="N5" s="29"/>
      <c r="O5" s="24" t="s">
        <v>715</v>
      </c>
      <c r="P5" s="25"/>
      <c r="Q5" s="26">
        <v>250000</v>
      </c>
      <c r="R5" s="27"/>
      <c r="S5" s="30"/>
      <c r="T5" s="29"/>
      <c r="U5" s="24" t="s">
        <v>715</v>
      </c>
      <c r="V5" s="25"/>
      <c r="W5" s="26">
        <v>250000</v>
      </c>
      <c r="X5" s="18"/>
    </row>
    <row r="6" spans="2:24" ht="15.5" x14ac:dyDescent="0.35">
      <c r="B6" s="16"/>
      <c r="C6" s="31" t="s">
        <v>716</v>
      </c>
      <c r="D6" s="32"/>
      <c r="E6" s="33">
        <v>100000</v>
      </c>
      <c r="F6" s="27"/>
      <c r="G6" s="28"/>
      <c r="H6" s="29"/>
      <c r="I6" s="31" t="s">
        <v>716</v>
      </c>
      <c r="J6" s="32"/>
      <c r="K6" s="33">
        <v>100000</v>
      </c>
      <c r="L6" s="27"/>
      <c r="M6" s="30"/>
      <c r="N6" s="29"/>
      <c r="O6" s="31" t="s">
        <v>716</v>
      </c>
      <c r="P6" s="32"/>
      <c r="Q6" s="33">
        <v>100000</v>
      </c>
      <c r="R6" s="27"/>
      <c r="S6" s="30"/>
      <c r="T6" s="29"/>
      <c r="U6" s="31" t="s">
        <v>716</v>
      </c>
      <c r="V6" s="32"/>
      <c r="W6" s="33">
        <v>100000</v>
      </c>
      <c r="X6" s="18"/>
    </row>
    <row r="7" spans="2:24" ht="15.5" x14ac:dyDescent="0.35">
      <c r="B7" s="16"/>
      <c r="C7" s="31" t="s">
        <v>717</v>
      </c>
      <c r="D7" s="32"/>
      <c r="E7" s="33">
        <v>25000</v>
      </c>
      <c r="F7" s="27"/>
      <c r="G7" s="28"/>
      <c r="H7" s="29"/>
      <c r="I7" s="31" t="s">
        <v>717</v>
      </c>
      <c r="J7" s="32"/>
      <c r="K7" s="33">
        <v>25000</v>
      </c>
      <c r="L7" s="27"/>
      <c r="M7" s="30"/>
      <c r="N7" s="29"/>
      <c r="O7" s="31" t="s">
        <v>717</v>
      </c>
      <c r="P7" s="32"/>
      <c r="Q7" s="33">
        <v>25000</v>
      </c>
      <c r="R7" s="27"/>
      <c r="S7" s="30"/>
      <c r="T7" s="29"/>
      <c r="U7" s="31" t="s">
        <v>717</v>
      </c>
      <c r="V7" s="32"/>
      <c r="W7" s="33">
        <v>25000</v>
      </c>
      <c r="X7" s="18"/>
    </row>
    <row r="8" spans="2:24" ht="15.5" x14ac:dyDescent="0.35">
      <c r="B8" s="16"/>
      <c r="C8" s="31" t="s">
        <v>719</v>
      </c>
      <c r="D8" s="32"/>
      <c r="E8" s="33">
        <f>SUM(E5:E7)</f>
        <v>375000</v>
      </c>
      <c r="F8" s="27"/>
      <c r="G8" s="28"/>
      <c r="H8" s="29"/>
      <c r="I8" s="31" t="s">
        <v>719</v>
      </c>
      <c r="J8" s="32"/>
      <c r="K8" s="33">
        <f>SUM(K5:K7)</f>
        <v>268196.90175856079</v>
      </c>
      <c r="L8" s="27"/>
      <c r="M8" s="30"/>
      <c r="N8" s="29"/>
      <c r="O8" s="31" t="s">
        <v>719</v>
      </c>
      <c r="P8" s="32"/>
      <c r="Q8" s="33">
        <f>SUM(Q5:Q7)</f>
        <v>375000</v>
      </c>
      <c r="R8" s="27"/>
      <c r="S8" s="30"/>
      <c r="T8" s="29"/>
      <c r="U8" s="31" t="s">
        <v>719</v>
      </c>
      <c r="V8" s="32"/>
      <c r="W8" s="33">
        <f>SUM(W5:W7)</f>
        <v>375000</v>
      </c>
      <c r="X8" s="18"/>
    </row>
    <row r="9" spans="2:24" ht="15.5" x14ac:dyDescent="0.35">
      <c r="B9" s="16"/>
      <c r="C9" s="31" t="s">
        <v>721</v>
      </c>
      <c r="D9" s="32"/>
      <c r="E9" s="34">
        <v>4.4999999999999998E-2</v>
      </c>
      <c r="F9" s="35"/>
      <c r="G9" s="36"/>
      <c r="H9" s="29"/>
      <c r="I9" s="31" t="s">
        <v>721</v>
      </c>
      <c r="J9" s="32"/>
      <c r="K9" s="34">
        <v>4.4999999999999998E-2</v>
      </c>
      <c r="L9" s="35"/>
      <c r="M9" s="37"/>
      <c r="N9" s="29"/>
      <c r="O9" s="31" t="s">
        <v>721</v>
      </c>
      <c r="P9" s="32"/>
      <c r="Q9" s="256">
        <v>2.1347822171816237E-2</v>
      </c>
      <c r="R9" s="35"/>
      <c r="S9" s="37"/>
      <c r="T9" s="29"/>
      <c r="U9" s="31" t="s">
        <v>721</v>
      </c>
      <c r="V9" s="32"/>
      <c r="W9" s="34">
        <v>4.4999999999999998E-2</v>
      </c>
      <c r="X9" s="18"/>
    </row>
    <row r="10" spans="2:24" ht="15.5" x14ac:dyDescent="0.35">
      <c r="B10" s="16"/>
      <c r="C10" s="31" t="s">
        <v>720</v>
      </c>
      <c r="D10" s="32"/>
      <c r="E10" s="38">
        <v>5</v>
      </c>
      <c r="F10" s="39"/>
      <c r="G10" s="40"/>
      <c r="H10" s="29"/>
      <c r="I10" s="31" t="s">
        <v>720</v>
      </c>
      <c r="J10" s="32"/>
      <c r="K10" s="38">
        <v>5</v>
      </c>
      <c r="L10" s="39"/>
      <c r="M10" s="40"/>
      <c r="N10" s="29"/>
      <c r="O10" s="31" t="s">
        <v>720</v>
      </c>
      <c r="P10" s="32"/>
      <c r="Q10" s="38">
        <v>5</v>
      </c>
      <c r="R10" s="39"/>
      <c r="S10" s="40"/>
      <c r="T10" s="29"/>
      <c r="U10" s="31" t="s">
        <v>720</v>
      </c>
      <c r="V10" s="32"/>
      <c r="W10" s="257">
        <v>7.3524556388653854</v>
      </c>
      <c r="X10" s="18"/>
    </row>
    <row r="11" spans="2:24" ht="15.5" x14ac:dyDescent="0.35">
      <c r="B11" s="16"/>
      <c r="C11" s="31" t="s">
        <v>722</v>
      </c>
      <c r="D11" s="32"/>
      <c r="E11" s="33">
        <f>ABS(CUMIPMT(E9/12,E10*12,E8,1,E10*12,1))</f>
        <v>42900.804915690795</v>
      </c>
      <c r="F11" s="27"/>
      <c r="G11" s="28"/>
      <c r="H11" s="29"/>
      <c r="I11" s="31" t="s">
        <v>722</v>
      </c>
      <c r="J11" s="32"/>
      <c r="K11" s="33">
        <f>ABS(CUMIPMT(K9/12,K10*12,K8,1,K10*12,1))</f>
        <v>30682.301230231184</v>
      </c>
      <c r="L11" s="27"/>
      <c r="M11" s="30"/>
      <c r="N11" s="29"/>
      <c r="O11" s="31" t="s">
        <v>722</v>
      </c>
      <c r="P11" s="32"/>
      <c r="Q11" s="33">
        <f>ABS(CUMIPMT(Q9/12,Q10*12,Q8,1,Q10*12,1))</f>
        <v>20000.000002492103</v>
      </c>
      <c r="R11" s="27"/>
      <c r="S11" s="30"/>
      <c r="T11" s="29"/>
      <c r="U11" s="31" t="s">
        <v>722</v>
      </c>
      <c r="V11" s="32"/>
      <c r="W11" s="33">
        <f>ABS(CUMIPMT(W9/12,W10*12,W8,1,W10*12,1))</f>
        <v>64496.588576841226</v>
      </c>
      <c r="X11" s="18"/>
    </row>
    <row r="12" spans="2:24" ht="15.5" x14ac:dyDescent="0.35">
      <c r="B12" s="16"/>
      <c r="C12" s="41" t="s">
        <v>718</v>
      </c>
      <c r="D12" s="42"/>
      <c r="E12" s="43">
        <f>PMT((E9/12),(E10*12),-(E8))</f>
        <v>6991.132215568744</v>
      </c>
      <c r="F12" s="44"/>
      <c r="G12" s="45"/>
      <c r="H12" s="29"/>
      <c r="I12" s="41" t="s">
        <v>718</v>
      </c>
      <c r="J12" s="42"/>
      <c r="K12" s="43">
        <f>PMT((K9/12),(K10*12),-(K8))</f>
        <v>4999.9999999999991</v>
      </c>
      <c r="L12" s="44"/>
      <c r="M12" s="45"/>
      <c r="N12" s="29"/>
      <c r="O12" s="41" t="s">
        <v>718</v>
      </c>
      <c r="P12" s="42"/>
      <c r="Q12" s="43">
        <f>PMT((Q9/12),(Q10*12),-(Q8))</f>
        <v>6595.0449858164266</v>
      </c>
      <c r="R12" s="44"/>
      <c r="S12" s="45"/>
      <c r="T12" s="29"/>
      <c r="U12" s="41" t="s">
        <v>718</v>
      </c>
      <c r="V12" s="42"/>
      <c r="W12" s="43">
        <f>PMT((W9/12),(W10*12),-(W8))</f>
        <v>5000.000000082262</v>
      </c>
      <c r="X12" s="18"/>
    </row>
    <row r="13" spans="2:24" x14ac:dyDescent="0.35">
      <c r="B13" s="16"/>
      <c r="C13" s="17"/>
      <c r="D13" s="17"/>
      <c r="E13" s="17"/>
      <c r="F13" s="18"/>
      <c r="G13" s="10"/>
      <c r="H13" s="16"/>
      <c r="I13" s="17"/>
      <c r="J13" s="17"/>
      <c r="K13" s="17"/>
      <c r="L13" s="18"/>
      <c r="N13" s="16"/>
      <c r="O13" s="17"/>
      <c r="P13" s="17"/>
      <c r="Q13" s="17"/>
      <c r="R13" s="18"/>
      <c r="T13" s="16"/>
      <c r="U13" s="17"/>
      <c r="V13" s="17"/>
      <c r="W13" s="17"/>
      <c r="X13" s="18"/>
    </row>
    <row r="14" spans="2:24" x14ac:dyDescent="0.35">
      <c r="B14" s="16"/>
      <c r="C14" s="17"/>
      <c r="D14" s="17"/>
      <c r="E14" s="17"/>
      <c r="F14" s="18"/>
      <c r="G14" s="10"/>
      <c r="H14" s="16"/>
      <c r="I14" s="17"/>
      <c r="J14" s="17"/>
      <c r="K14" s="17"/>
      <c r="L14" s="18"/>
      <c r="N14" s="16"/>
      <c r="O14" s="17"/>
      <c r="P14" s="17"/>
      <c r="Q14" s="17"/>
      <c r="R14" s="18"/>
      <c r="T14" s="16"/>
      <c r="U14" s="17"/>
      <c r="V14" s="17"/>
      <c r="W14" s="17"/>
      <c r="X14" s="18"/>
    </row>
    <row r="15" spans="2:24" x14ac:dyDescent="0.35">
      <c r="B15" s="16"/>
      <c r="C15" s="17"/>
      <c r="D15" s="17"/>
      <c r="E15" s="17"/>
      <c r="F15" s="18"/>
      <c r="G15" s="10"/>
      <c r="H15" s="16"/>
      <c r="I15" s="17"/>
      <c r="J15" s="17"/>
      <c r="K15" s="17"/>
      <c r="L15" s="18"/>
      <c r="N15" s="16"/>
      <c r="O15" s="17"/>
      <c r="P15" s="17"/>
      <c r="Q15" s="17"/>
      <c r="R15" s="18"/>
      <c r="T15" s="16"/>
      <c r="U15" s="17"/>
      <c r="V15" s="17"/>
      <c r="W15" s="17"/>
      <c r="X15" s="18"/>
    </row>
    <row r="16" spans="2:24" x14ac:dyDescent="0.35">
      <c r="B16" s="16"/>
      <c r="C16" s="19"/>
      <c r="D16" s="19"/>
      <c r="E16" s="17"/>
      <c r="F16" s="18"/>
      <c r="G16" s="10"/>
      <c r="H16" s="16"/>
      <c r="I16" s="17"/>
      <c r="J16" s="17"/>
      <c r="K16" s="17"/>
      <c r="L16" s="18"/>
      <c r="N16" s="16"/>
      <c r="O16" s="17"/>
      <c r="P16" s="17"/>
      <c r="Q16" s="17"/>
      <c r="R16" s="18"/>
      <c r="T16" s="16"/>
      <c r="U16" s="17"/>
      <c r="V16" s="17"/>
      <c r="W16" s="17"/>
      <c r="X16" s="18"/>
    </row>
    <row r="17" spans="2:24" x14ac:dyDescent="0.35">
      <c r="B17" s="16"/>
      <c r="C17" s="20"/>
      <c r="D17" s="20"/>
      <c r="E17" s="17"/>
      <c r="F17" s="18"/>
      <c r="G17" s="10"/>
      <c r="H17" s="16"/>
      <c r="I17" s="17"/>
      <c r="J17" s="17"/>
      <c r="K17" s="17"/>
      <c r="L17" s="18"/>
      <c r="N17" s="16"/>
      <c r="O17" s="17"/>
      <c r="P17" s="17"/>
      <c r="Q17" s="17"/>
      <c r="R17" s="18"/>
      <c r="T17" s="16"/>
      <c r="U17" s="17"/>
      <c r="V17" s="17"/>
      <c r="W17" s="17"/>
      <c r="X17" s="18"/>
    </row>
    <row r="18" spans="2:24" x14ac:dyDescent="0.35">
      <c r="B18" s="16"/>
      <c r="C18" s="20"/>
      <c r="D18" s="17"/>
      <c r="E18" s="17"/>
      <c r="F18" s="18"/>
      <c r="G18" s="10"/>
      <c r="H18" s="16"/>
      <c r="I18" s="17"/>
      <c r="J18" s="17"/>
      <c r="K18" s="17"/>
      <c r="L18" s="18"/>
      <c r="N18" s="16"/>
      <c r="O18" s="17"/>
      <c r="P18" s="17"/>
      <c r="Q18" s="17"/>
      <c r="R18" s="18"/>
      <c r="T18" s="16"/>
      <c r="U18" s="17"/>
      <c r="V18" s="17"/>
      <c r="W18" s="17"/>
      <c r="X18" s="18"/>
    </row>
    <row r="19" spans="2:24" x14ac:dyDescent="0.35">
      <c r="B19" s="16"/>
      <c r="C19" s="17"/>
      <c r="D19" s="17"/>
      <c r="E19" s="17"/>
      <c r="F19" s="18"/>
      <c r="G19" s="10"/>
      <c r="H19" s="16"/>
      <c r="I19" s="17"/>
      <c r="J19" s="17"/>
      <c r="K19" s="17"/>
      <c r="L19" s="18"/>
      <c r="N19" s="16"/>
      <c r="O19" s="17"/>
      <c r="P19" s="17"/>
      <c r="Q19" s="17"/>
      <c r="R19" s="18"/>
      <c r="T19" s="16"/>
      <c r="U19" s="17"/>
      <c r="V19" s="17"/>
      <c r="W19" s="17"/>
      <c r="X19" s="18"/>
    </row>
    <row r="20" spans="2:24" x14ac:dyDescent="0.35">
      <c r="B20" s="16"/>
      <c r="C20" s="17"/>
      <c r="D20" s="17"/>
      <c r="E20" s="17"/>
      <c r="F20" s="18"/>
      <c r="G20" s="10"/>
      <c r="H20" s="16"/>
      <c r="I20" s="17"/>
      <c r="J20" s="17"/>
      <c r="K20" s="17"/>
      <c r="L20" s="18"/>
      <c r="N20" s="16"/>
      <c r="O20" s="17"/>
      <c r="P20" s="17"/>
      <c r="Q20" s="17"/>
      <c r="R20" s="18"/>
      <c r="T20" s="16"/>
      <c r="U20" s="17"/>
      <c r="V20" s="17"/>
      <c r="W20" s="17"/>
      <c r="X20" s="18"/>
    </row>
    <row r="21" spans="2:24" x14ac:dyDescent="0.35">
      <c r="B21" s="16"/>
      <c r="C21" s="17"/>
      <c r="D21" s="17"/>
      <c r="E21" s="17"/>
      <c r="F21" s="18"/>
      <c r="G21" s="10"/>
      <c r="H21" s="16"/>
      <c r="I21" s="17"/>
      <c r="J21" s="17"/>
      <c r="K21" s="17"/>
      <c r="L21" s="18"/>
      <c r="N21" s="16"/>
      <c r="O21" s="17"/>
      <c r="P21" s="17"/>
      <c r="Q21" s="17"/>
      <c r="R21" s="18"/>
      <c r="T21" s="16"/>
      <c r="U21" s="17"/>
      <c r="V21" s="17"/>
      <c r="W21" s="17"/>
      <c r="X21" s="18"/>
    </row>
    <row r="22" spans="2:24" x14ac:dyDescent="0.35">
      <c r="B22" s="16"/>
      <c r="C22" s="17"/>
      <c r="D22" s="17"/>
      <c r="E22" s="17"/>
      <c r="F22" s="18"/>
      <c r="G22" s="10"/>
      <c r="H22" s="16"/>
      <c r="I22" s="17"/>
      <c r="J22" s="17"/>
      <c r="K22" s="17"/>
      <c r="L22" s="18"/>
      <c r="N22" s="16"/>
      <c r="O22" s="17"/>
      <c r="P22" s="17"/>
      <c r="Q22" s="17"/>
      <c r="R22" s="18"/>
      <c r="T22" s="16"/>
      <c r="U22" s="17"/>
      <c r="V22" s="17"/>
      <c r="W22" s="17"/>
      <c r="X22" s="18"/>
    </row>
    <row r="23" spans="2:24" x14ac:dyDescent="0.35">
      <c r="B23" s="16"/>
      <c r="C23" s="17"/>
      <c r="D23" s="17"/>
      <c r="E23" s="17"/>
      <c r="F23" s="18"/>
      <c r="G23" s="10"/>
      <c r="H23" s="16"/>
      <c r="I23" s="17"/>
      <c r="J23" s="17"/>
      <c r="K23" s="17"/>
      <c r="L23" s="18"/>
      <c r="N23" s="16"/>
      <c r="O23" s="17"/>
      <c r="P23" s="17"/>
      <c r="Q23" s="17"/>
      <c r="R23" s="18"/>
      <c r="T23" s="16"/>
      <c r="U23" s="17"/>
      <c r="V23" s="17"/>
      <c r="W23" s="17"/>
      <c r="X23" s="18"/>
    </row>
    <row r="24" spans="2:24" x14ac:dyDescent="0.35">
      <c r="B24" s="16"/>
      <c r="C24" s="17"/>
      <c r="D24" s="17"/>
      <c r="E24" s="17"/>
      <c r="F24" s="18"/>
      <c r="G24" s="10"/>
      <c r="H24" s="16"/>
      <c r="I24" s="17"/>
      <c r="J24" s="17"/>
      <c r="K24" s="17"/>
      <c r="L24" s="18"/>
      <c r="N24" s="16"/>
      <c r="O24" s="17"/>
      <c r="P24" s="17"/>
      <c r="Q24" s="17"/>
      <c r="R24" s="18"/>
      <c r="T24" s="16"/>
      <c r="U24" s="17"/>
      <c r="V24" s="17"/>
      <c r="W24" s="17"/>
      <c r="X24" s="18"/>
    </row>
    <row r="25" spans="2:24" x14ac:dyDescent="0.35">
      <c r="B25" s="16"/>
      <c r="C25" s="17"/>
      <c r="D25" s="17"/>
      <c r="E25" s="17"/>
      <c r="F25" s="18"/>
      <c r="G25" s="10"/>
      <c r="H25" s="16"/>
      <c r="I25" s="17"/>
      <c r="J25" s="17"/>
      <c r="K25" s="17"/>
      <c r="L25" s="18"/>
      <c r="N25" s="16"/>
      <c r="O25" s="17"/>
      <c r="P25" s="17"/>
      <c r="Q25" s="17"/>
      <c r="R25" s="18"/>
      <c r="T25" s="16"/>
      <c r="U25" s="17"/>
      <c r="V25" s="17"/>
      <c r="W25" s="17"/>
      <c r="X25" s="18"/>
    </row>
    <row r="26" spans="2:24" ht="15" thickBot="1" x14ac:dyDescent="0.4">
      <c r="B26" s="21"/>
      <c r="C26" s="22"/>
      <c r="D26" s="22"/>
      <c r="E26" s="22"/>
      <c r="F26" s="23"/>
      <c r="G26" s="10"/>
      <c r="H26" s="21"/>
      <c r="I26" s="22"/>
      <c r="J26" s="22"/>
      <c r="K26" s="22"/>
      <c r="L26" s="23"/>
      <c r="N26" s="21"/>
      <c r="O26" s="22"/>
      <c r="P26" s="22"/>
      <c r="Q26" s="22"/>
      <c r="R26" s="23"/>
      <c r="T26" s="21"/>
      <c r="U26" s="22"/>
      <c r="V26" s="22"/>
      <c r="W26" s="22"/>
      <c r="X26" s="23"/>
    </row>
  </sheetData>
  <mergeCells count="1">
    <mergeCell ref="B2:X2"/>
  </mergeCells>
  <pageMargins left="0.7" right="0.7" top="0.75" bottom="0.75" header="0.3" footer="0.3"/>
  <pageSetup orientation="portrait" horizontalDpi="4294967293" verticalDpi="4294967293"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7" tint="0.59999389629810485"/>
  </sheetPr>
  <dimension ref="B2:V24"/>
  <sheetViews>
    <sheetView topLeftCell="A5" zoomScale="80" zoomScaleNormal="80" workbookViewId="0">
      <selection activeCell="D9" sqref="D9"/>
    </sheetView>
  </sheetViews>
  <sheetFormatPr defaultRowHeight="14.5" x14ac:dyDescent="0.35"/>
  <cols>
    <col min="1" max="1" width="4.453125" customWidth="1"/>
    <col min="2" max="2" width="16.6328125" customWidth="1"/>
    <col min="3" max="3" width="5.1796875" customWidth="1"/>
    <col min="4" max="4" width="11.26953125" bestFit="1" customWidth="1"/>
    <col min="5" max="5" width="5.36328125" customWidth="1"/>
    <col min="6" max="6" width="3.453125" customWidth="1"/>
    <col min="7" max="7" width="6.1796875" customWidth="1"/>
    <col min="8" max="22" width="10.453125" customWidth="1"/>
  </cols>
  <sheetData>
    <row r="2" spans="2:22" ht="23.5" x14ac:dyDescent="0.35">
      <c r="B2" s="326" t="s">
        <v>723</v>
      </c>
      <c r="C2" s="327"/>
      <c r="D2" s="327"/>
      <c r="E2" s="327"/>
      <c r="F2" s="327"/>
      <c r="G2" s="327"/>
      <c r="H2" s="327"/>
      <c r="I2" s="327"/>
      <c r="J2" s="327"/>
      <c r="K2" s="327"/>
      <c r="L2" s="327"/>
      <c r="M2" s="327"/>
      <c r="N2" s="327"/>
      <c r="O2" s="327"/>
      <c r="P2" s="327"/>
      <c r="Q2" s="327"/>
      <c r="R2" s="327"/>
      <c r="S2" s="327"/>
      <c r="T2" s="327"/>
      <c r="U2" s="327"/>
      <c r="V2" s="327"/>
    </row>
    <row r="3" spans="2:22" ht="15" thickBot="1" x14ac:dyDescent="0.4"/>
    <row r="4" spans="2:22" ht="18" customHeight="1" x14ac:dyDescent="0.35">
      <c r="B4" s="46" t="s">
        <v>715</v>
      </c>
      <c r="C4" s="47"/>
      <c r="D4" s="48">
        <v>250000</v>
      </c>
      <c r="F4" s="93"/>
      <c r="G4" s="330" t="s">
        <v>725</v>
      </c>
      <c r="H4" s="330"/>
      <c r="I4" s="330"/>
      <c r="J4" s="330"/>
      <c r="K4" s="330"/>
      <c r="L4" s="330"/>
      <c r="M4" s="330"/>
      <c r="N4" s="330"/>
      <c r="O4" s="330"/>
      <c r="P4" s="330"/>
      <c r="Q4" s="330"/>
      <c r="R4" s="330"/>
      <c r="S4" s="330"/>
      <c r="T4" s="330"/>
      <c r="U4" s="330"/>
      <c r="V4" s="330"/>
    </row>
    <row r="5" spans="2:22" ht="14.5" customHeight="1" x14ac:dyDescent="0.35">
      <c r="B5" s="49" t="s">
        <v>716</v>
      </c>
      <c r="C5" s="50"/>
      <c r="D5" s="51">
        <v>100000</v>
      </c>
      <c r="F5" s="93"/>
      <c r="G5" s="221">
        <f>D11</f>
        <v>6991.132215568744</v>
      </c>
      <c r="H5" s="59">
        <v>1</v>
      </c>
      <c r="I5" s="59">
        <v>2</v>
      </c>
      <c r="J5" s="59">
        <v>3</v>
      </c>
      <c r="K5" s="59">
        <v>4</v>
      </c>
      <c r="L5" s="59">
        <v>5</v>
      </c>
      <c r="M5" s="59">
        <v>6</v>
      </c>
      <c r="N5" s="59">
        <v>7</v>
      </c>
      <c r="O5" s="59">
        <v>8</v>
      </c>
      <c r="P5" s="59">
        <v>9</v>
      </c>
      <c r="Q5" s="59">
        <v>10</v>
      </c>
      <c r="R5" s="59">
        <v>11</v>
      </c>
      <c r="S5" s="59">
        <v>12</v>
      </c>
      <c r="T5" s="59">
        <v>13</v>
      </c>
      <c r="U5" s="59">
        <v>14</v>
      </c>
      <c r="V5" s="59">
        <v>15</v>
      </c>
    </row>
    <row r="6" spans="2:22" ht="16" customHeight="1" x14ac:dyDescent="0.35">
      <c r="B6" s="49" t="s">
        <v>717</v>
      </c>
      <c r="C6" s="50"/>
      <c r="D6" s="51">
        <v>25000</v>
      </c>
      <c r="F6" s="329" t="s">
        <v>726</v>
      </c>
      <c r="G6" s="56">
        <v>0.01</v>
      </c>
      <c r="H6" s="57">
        <f t="dataTable" ref="H6:V24" dt2D="1" dtr="1" r1="D9" r2="D8"/>
        <v>31419.52933342387</v>
      </c>
      <c r="I6" s="57">
        <v>15788.28012579077</v>
      </c>
      <c r="J6" s="57">
        <v>10578.037254835161</v>
      </c>
      <c r="K6" s="57">
        <v>7973.0459615471782</v>
      </c>
      <c r="L6" s="57">
        <v>6410.1552920448094</v>
      </c>
      <c r="M6" s="57">
        <v>5368.3149266344535</v>
      </c>
      <c r="N6" s="57">
        <v>4624.2175839625288</v>
      </c>
      <c r="O6" s="57">
        <v>4066.2096220534754</v>
      </c>
      <c r="P6" s="57">
        <v>3632.2612386558276</v>
      </c>
      <c r="Q6" s="57">
        <v>3285.1545513807296</v>
      </c>
      <c r="R6" s="57">
        <v>3001.2054523104093</v>
      </c>
      <c r="S6" s="57">
        <v>2764.6245353024815</v>
      </c>
      <c r="T6" s="57">
        <v>2564.4806722307799</v>
      </c>
      <c r="U6" s="57">
        <v>2392.9659136944611</v>
      </c>
      <c r="V6" s="57">
        <v>2244.3544294435101</v>
      </c>
    </row>
    <row r="7" spans="2:22" x14ac:dyDescent="0.35">
      <c r="B7" s="49" t="s">
        <v>719</v>
      </c>
      <c r="C7" s="50"/>
      <c r="D7" s="51">
        <f>SUM(D4:D6)</f>
        <v>375000</v>
      </c>
      <c r="F7" s="329"/>
      <c r="G7" s="56">
        <v>1.4999999999999999E-2</v>
      </c>
      <c r="H7" s="57">
        <v>31504.48775293152</v>
      </c>
      <c r="I7" s="57">
        <v>15870.309717408416</v>
      </c>
      <c r="J7" s="57">
        <v>10659.307383413179</v>
      </c>
      <c r="K7" s="57">
        <v>8054.09894190879</v>
      </c>
      <c r="L7" s="57">
        <v>6491.2080205685997</v>
      </c>
      <c r="M7" s="57">
        <v>5449.4758198559484</v>
      </c>
      <c r="N7" s="57">
        <v>4705.5485610367386</v>
      </c>
      <c r="O7" s="57">
        <v>4147.7493481836336</v>
      </c>
      <c r="P7" s="57">
        <v>3714.0354555117219</v>
      </c>
      <c r="Q7" s="57">
        <v>3367.1812423136207</v>
      </c>
      <c r="R7" s="57">
        <v>3083.4976597489235</v>
      </c>
      <c r="S7" s="57">
        <v>2847.1920042396173</v>
      </c>
      <c r="T7" s="57">
        <v>2647.3308616067125</v>
      </c>
      <c r="U7" s="57">
        <v>2476.1046465774834</v>
      </c>
      <c r="V7" s="57">
        <v>2327.7863264903663</v>
      </c>
    </row>
    <row r="8" spans="2:22" x14ac:dyDescent="0.35">
      <c r="B8" s="49" t="s">
        <v>721</v>
      </c>
      <c r="C8" s="50"/>
      <c r="D8" s="52">
        <v>4.4999999999999998E-2</v>
      </c>
      <c r="F8" s="329"/>
      <c r="G8" s="56">
        <v>0.02</v>
      </c>
      <c r="H8" s="57">
        <v>31589.57523153954</v>
      </c>
      <c r="I8" s="57">
        <v>15952.598763180087</v>
      </c>
      <c r="J8" s="57">
        <v>10740.967024671145</v>
      </c>
      <c r="K8" s="57">
        <v>8135.6713647526385</v>
      </c>
      <c r="L8" s="57">
        <v>6572.9100199666418</v>
      </c>
      <c r="M8" s="57">
        <v>5531.4157081831945</v>
      </c>
      <c r="N8" s="57">
        <v>4787.7881419679043</v>
      </c>
      <c r="O8" s="57">
        <v>4230.3271569297212</v>
      </c>
      <c r="P8" s="57">
        <v>3796.9770878420782</v>
      </c>
      <c r="Q8" s="57">
        <v>3450.5045190960263</v>
      </c>
      <c r="R8" s="57">
        <v>3167.2154440013496</v>
      </c>
      <c r="S8" s="57">
        <v>2931.3138444409797</v>
      </c>
      <c r="T8" s="57">
        <v>2731.8640029961534</v>
      </c>
      <c r="U8" s="57">
        <v>2561.0546813069177</v>
      </c>
      <c r="V8" s="57">
        <v>2413.1576270914711</v>
      </c>
    </row>
    <row r="9" spans="2:22" x14ac:dyDescent="0.35">
      <c r="B9" s="49" t="s">
        <v>720</v>
      </c>
      <c r="C9" s="50"/>
      <c r="D9" s="53">
        <v>5</v>
      </c>
      <c r="F9" s="329"/>
      <c r="G9" s="56">
        <v>2.5000000000000001E-2</v>
      </c>
      <c r="H9" s="57">
        <v>31674.791686480487</v>
      </c>
      <c r="I9" s="57">
        <v>16035.147083133084</v>
      </c>
      <c r="J9" s="57">
        <v>10823.015874442852</v>
      </c>
      <c r="K9" s="57">
        <v>8217.7627610282852</v>
      </c>
      <c r="L9" s="57">
        <v>6655.2606020551038</v>
      </c>
      <c r="M9" s="57">
        <v>5614.1336165521006</v>
      </c>
      <c r="N9" s="57">
        <v>4870.9349836247602</v>
      </c>
      <c r="O9" s="57">
        <v>4313.9412425309929</v>
      </c>
      <c r="P9" s="57">
        <v>3881.083759392809</v>
      </c>
      <c r="Q9" s="57">
        <v>3535.1213138986714</v>
      </c>
      <c r="R9" s="57">
        <v>3252.3549114569005</v>
      </c>
      <c r="S9" s="57">
        <v>3016.9851892868987</v>
      </c>
      <c r="T9" s="57">
        <v>2818.0740966354233</v>
      </c>
      <c r="U9" s="57">
        <v>2647.8087120552541</v>
      </c>
      <c r="V9" s="57">
        <v>2500.459533783699</v>
      </c>
    </row>
    <row r="10" spans="2:22" x14ac:dyDescent="0.35">
      <c r="B10" s="49" t="s">
        <v>722</v>
      </c>
      <c r="C10" s="50"/>
      <c r="D10" s="51">
        <f>ABS(CUMIPMT(D8/12,D9*12,D7,1,D9*12,1))</f>
        <v>42900.804915690795</v>
      </c>
      <c r="F10" s="329"/>
      <c r="G10" s="56">
        <v>0.03</v>
      </c>
      <c r="H10" s="57">
        <v>31760.137034433355</v>
      </c>
      <c r="I10" s="57">
        <v>16117.954492333538</v>
      </c>
      <c r="J10" s="57">
        <v>10905.453611494624</v>
      </c>
      <c r="K10" s="57">
        <v>8300.3726209918168</v>
      </c>
      <c r="L10" s="57">
        <v>6738.2589990236775</v>
      </c>
      <c r="M10" s="57">
        <v>5697.6284322895272</v>
      </c>
      <c r="N10" s="57">
        <v>4954.9875245481653</v>
      </c>
      <c r="O10" s="57">
        <v>4398.5894738238403</v>
      </c>
      <c r="P10" s="57">
        <v>3966.3526315334398</v>
      </c>
      <c r="Q10" s="57">
        <v>3621.0279261896071</v>
      </c>
      <c r="R10" s="57">
        <v>3338.9113287673767</v>
      </c>
      <c r="S10" s="57">
        <v>3104.2000854301482</v>
      </c>
      <c r="T10" s="57">
        <v>2905.9537659594803</v>
      </c>
      <c r="U10" s="57">
        <v>2736.3577200363147</v>
      </c>
      <c r="V10" s="57">
        <v>2589.6811510424627</v>
      </c>
    </row>
    <row r="11" spans="2:22" ht="15" thickBot="1" x14ac:dyDescent="0.4">
      <c r="B11" s="54" t="s">
        <v>718</v>
      </c>
      <c r="C11" s="55"/>
      <c r="D11" s="60">
        <f>PMT((D8/12),(D9*12),-(D7))</f>
        <v>6991.132215568744</v>
      </c>
      <c r="F11" s="329"/>
      <c r="G11" s="56">
        <v>3.5000000000000003E-2</v>
      </c>
      <c r="H11" s="57">
        <v>31845.611191525408</v>
      </c>
      <c r="I11" s="57">
        <v>16201.020800903816</v>
      </c>
      <c r="J11" s="57">
        <v>10988.279897591554</v>
      </c>
      <c r="K11" s="57">
        <v>8383.5003943863812</v>
      </c>
      <c r="L11" s="57">
        <v>6821.9043638461499</v>
      </c>
      <c r="M11" s="57">
        <v>5781.8989059444202</v>
      </c>
      <c r="N11" s="57">
        <v>5039.9439864982323</v>
      </c>
      <c r="O11" s="57">
        <v>4484.2693969410975</v>
      </c>
      <c r="P11" s="57">
        <v>4052.7804077268634</v>
      </c>
      <c r="Q11" s="57">
        <v>3708.2200298213752</v>
      </c>
      <c r="R11" s="57">
        <v>3426.8791336790414</v>
      </c>
      <c r="S11" s="57">
        <v>3192.9515088365492</v>
      </c>
      <c r="T11" s="57">
        <v>2995.4942807128505</v>
      </c>
      <c r="U11" s="57">
        <v>2826.6910060106297</v>
      </c>
      <c r="V11" s="57">
        <v>2680.8095300369064</v>
      </c>
    </row>
    <row r="12" spans="2:22" ht="15" thickBot="1" x14ac:dyDescent="0.4">
      <c r="F12" s="329"/>
      <c r="G12" s="56">
        <v>0.04</v>
      </c>
      <c r="H12" s="57">
        <v>31931.21407333422</v>
      </c>
      <c r="I12" s="57">
        <v>16284.345814040271</v>
      </c>
      <c r="J12" s="57">
        <v>11071.494377566381</v>
      </c>
      <c r="K12" s="57">
        <v>8467.1454906337422</v>
      </c>
      <c r="L12" s="57">
        <v>6906.1957707248821</v>
      </c>
      <c r="M12" s="57">
        <v>5866.9436522034384</v>
      </c>
      <c r="N12" s="57">
        <v>5125.802376183693</v>
      </c>
      <c r="O12" s="57">
        <v>4570.9782383650772</v>
      </c>
      <c r="P12" s="57">
        <v>4140.3633386326464</v>
      </c>
      <c r="Q12" s="57">
        <v>3796.6926811830563</v>
      </c>
      <c r="R12" s="57">
        <v>3516.2519475644658</v>
      </c>
      <c r="S12" s="57">
        <v>3283.2313834260149</v>
      </c>
      <c r="T12" s="57">
        <v>3086.6855838978122</v>
      </c>
      <c r="U12" s="57">
        <v>2918.7962282814606</v>
      </c>
      <c r="V12" s="57">
        <v>2773.8297210347632</v>
      </c>
    </row>
    <row r="13" spans="2:22" ht="14.5" customHeight="1" x14ac:dyDescent="0.35">
      <c r="B13" s="248" t="s">
        <v>883</v>
      </c>
      <c r="F13" s="329"/>
      <c r="G13" s="56">
        <v>4.4999999999999998E-2</v>
      </c>
      <c r="H13" s="57">
        <v>32016.945594889519</v>
      </c>
      <c r="I13" s="57">
        <v>16367.929332031292</v>
      </c>
      <c r="J13" s="57">
        <v>11155.096679390843</v>
      </c>
      <c r="K13" s="57">
        <v>8551.3072790367223</v>
      </c>
      <c r="L13" s="57">
        <v>6991.132215568744</v>
      </c>
      <c r="M13" s="57">
        <v>5952.7611508898062</v>
      </c>
      <c r="N13" s="57">
        <v>5212.5604871703326</v>
      </c>
      <c r="O13" s="57">
        <v>4658.7129083272075</v>
      </c>
      <c r="P13" s="57">
        <v>4229.0972278289792</v>
      </c>
      <c r="Q13" s="57">
        <v>3886.4403283880733</v>
      </c>
      <c r="R13" s="57">
        <v>3607.0225896006259</v>
      </c>
      <c r="S13" s="57">
        <v>3375.0306022196114</v>
      </c>
      <c r="T13" s="57">
        <v>3179.5163224007865</v>
      </c>
      <c r="U13" s="57">
        <v>3012.6594459231374</v>
      </c>
      <c r="V13" s="57">
        <v>2868.724833050444</v>
      </c>
    </row>
    <row r="14" spans="2:22" ht="15" customHeight="1" thickBot="1" x14ac:dyDescent="0.4">
      <c r="B14" s="235" t="str">
        <f>"Payment &lt; "&amp; TEXT(D11,"$#,##0")</f>
        <v>Payment &lt; $6,991</v>
      </c>
      <c r="F14" s="329"/>
      <c r="G14" s="56">
        <v>0.05</v>
      </c>
      <c r="H14" s="57">
        <v>32102.805670675174</v>
      </c>
      <c r="I14" s="57">
        <v>16451.771150275668</v>
      </c>
      <c r="J14" s="57">
        <v>11239.086414249554</v>
      </c>
      <c r="K14" s="57">
        <v>8635.9850889924455</v>
      </c>
      <c r="L14" s="57">
        <v>7076.7126165041009</v>
      </c>
      <c r="M14" s="57">
        <v>6039.3497480440992</v>
      </c>
      <c r="N14" s="57">
        <v>5300.215901965129</v>
      </c>
      <c r="O14" s="57">
        <v>4747.4700045464233</v>
      </c>
      <c r="P14" s="57">
        <v>4318.9774381367597</v>
      </c>
      <c r="Q14" s="57">
        <v>3977.4568214653214</v>
      </c>
      <c r="R14" s="57">
        <v>3699.1830925331951</v>
      </c>
      <c r="S14" s="57">
        <v>3468.3390508869456</v>
      </c>
      <c r="T14" s="57">
        <v>3273.9738811186371</v>
      </c>
      <c r="U14" s="57">
        <v>3108.2651669519946</v>
      </c>
      <c r="V14" s="57">
        <v>2965.4761002807923</v>
      </c>
    </row>
    <row r="15" spans="2:22" ht="14.5" customHeight="1" x14ac:dyDescent="0.35">
      <c r="F15" s="329"/>
      <c r="G15" s="56">
        <v>5.5E-2</v>
      </c>
      <c r="H15" s="57">
        <v>32188.794214631092</v>
      </c>
      <c r="I15" s="57">
        <v>16535.871059301226</v>
      </c>
      <c r="J15" s="57">
        <v>11323.463176616357</v>
      </c>
      <c r="K15" s="57">
        <v>8721.1782102161978</v>
      </c>
      <c r="L15" s="57">
        <v>7162.9358144183407</v>
      </c>
      <c r="M15" s="57">
        <v>6126.7076570855024</v>
      </c>
      <c r="N15" s="57">
        <v>5388.7659942723631</v>
      </c>
      <c r="O15" s="57">
        <v>4837.2458162977973</v>
      </c>
      <c r="P15" s="57">
        <v>4409.9988985277159</v>
      </c>
      <c r="Q15" s="57">
        <v>4069.7354235180273</v>
      </c>
      <c r="R15" s="57">
        <v>3792.7247199610742</v>
      </c>
      <c r="S15" s="57">
        <v>3563.1456335776293</v>
      </c>
      <c r="T15" s="57">
        <v>3370.044420388891</v>
      </c>
      <c r="U15" s="57">
        <v>3205.5964011218275</v>
      </c>
      <c r="V15" s="57">
        <v>3064.0629548292718</v>
      </c>
    </row>
    <row r="16" spans="2:22" x14ac:dyDescent="0.35">
      <c r="F16" s="329"/>
      <c r="G16" s="56">
        <v>0.06</v>
      </c>
      <c r="H16" s="57">
        <v>32274.91114015524</v>
      </c>
      <c r="I16" s="57">
        <v>16620.228844783836</v>
      </c>
      <c r="J16" s="57">
        <v>11408.226544333169</v>
      </c>
      <c r="K16" s="57">
        <v>8806.8858929758553</v>
      </c>
      <c r="L16" s="57">
        <v>7249.8005735354673</v>
      </c>
      <c r="M16" s="57">
        <v>6214.8329600520747</v>
      </c>
      <c r="N16" s="57">
        <v>5478.2079314177963</v>
      </c>
      <c r="O16" s="57">
        <v>4928.0363288022018</v>
      </c>
      <c r="P16" s="57">
        <v>4502.1561115970962</v>
      </c>
      <c r="Q16" s="57">
        <v>4163.2688228118541</v>
      </c>
      <c r="R16" s="57">
        <v>3887.637985069714</v>
      </c>
      <c r="S16" s="57">
        <v>3659.4383009110443</v>
      </c>
      <c r="T16" s="57">
        <v>3467.7129165120978</v>
      </c>
      <c r="U16" s="57">
        <v>3304.634717000863</v>
      </c>
      <c r="V16" s="57">
        <v>3164.4631051816918</v>
      </c>
    </row>
    <row r="17" spans="6:22" x14ac:dyDescent="0.35">
      <c r="F17" s="329"/>
      <c r="G17" s="56">
        <v>6.5000000000000002E-2</v>
      </c>
      <c r="H17" s="57">
        <v>32361.156360105524</v>
      </c>
      <c r="I17" s="57">
        <v>16704.844287566619</v>
      </c>
      <c r="J17" s="57">
        <v>11493.376078691168</v>
      </c>
      <c r="K17" s="57">
        <v>8893.1073483366363</v>
      </c>
      <c r="L17" s="57">
        <v>7337.305582023203</v>
      </c>
      <c r="M17" s="57">
        <v>6303.7236089183471</v>
      </c>
      <c r="N17" s="57">
        <v>5568.5386769366578</v>
      </c>
      <c r="O17" s="57">
        <v>5019.837227927188</v>
      </c>
      <c r="P17" s="57">
        <v>4595.4431615799713</v>
      </c>
      <c r="Q17" s="57">
        <v>4258.0491457509752</v>
      </c>
      <c r="R17" s="57">
        <v>3983.9126707367627</v>
      </c>
      <c r="S17" s="57">
        <v>3757.2040799899664</v>
      </c>
      <c r="T17" s="57">
        <v>3566.9632051405147</v>
      </c>
      <c r="U17" s="57">
        <v>3405.3603029657083</v>
      </c>
      <c r="V17" s="57">
        <v>3266.6526198651059</v>
      </c>
    </row>
    <row r="18" spans="6:22" x14ac:dyDescent="0.35">
      <c r="F18" s="329"/>
      <c r="G18" s="56">
        <v>7.0000000000000007E-2</v>
      </c>
      <c r="H18" s="57">
        <v>32447.529786801773</v>
      </c>
      <c r="I18" s="57">
        <v>16789.717163679532</v>
      </c>
      <c r="J18" s="57">
        <v>11578.911324514478</v>
      </c>
      <c r="K18" s="57">
        <v>8979.8417484160909</v>
      </c>
      <c r="L18" s="57">
        <v>7425.4494526310755</v>
      </c>
      <c r="M18" s="57">
        <v>6393.3774269886071</v>
      </c>
      <c r="N18" s="58">
        <v>5659.754993321023</v>
      </c>
      <c r="O18" s="57">
        <v>5112.6439051886809</v>
      </c>
      <c r="P18" s="57">
        <v>4689.8537228890291</v>
      </c>
      <c r="Q18" s="57">
        <v>4354.067970698402</v>
      </c>
      <c r="R18" s="57">
        <v>4081.5378509290681</v>
      </c>
      <c r="S18" s="57">
        <v>3856.4291062960542</v>
      </c>
      <c r="T18" s="57">
        <v>3667.7780272953887</v>
      </c>
      <c r="U18" s="57">
        <v>3507.7520317299964</v>
      </c>
      <c r="V18" s="57">
        <v>3370.6060156966014</v>
      </c>
    </row>
    <row r="19" spans="6:22" x14ac:dyDescent="0.35">
      <c r="F19" s="329"/>
      <c r="G19" s="56">
        <v>7.4999999999999997E-2</v>
      </c>
      <c r="H19" s="57">
        <v>32534.031332027706</v>
      </c>
      <c r="I19" s="57">
        <v>16874.8472443592</v>
      </c>
      <c r="J19" s="57">
        <v>11664.831810246162</v>
      </c>
      <c r="K19" s="57">
        <v>9067.0882266492117</v>
      </c>
      <c r="L19" s="57">
        <v>7514.2307233589117</v>
      </c>
      <c r="M19" s="57">
        <v>6483.7921103641056</v>
      </c>
      <c r="N19" s="57">
        <v>5751.8534449218923</v>
      </c>
      <c r="O19" s="57">
        <v>5206.4514630425119</v>
      </c>
      <c r="P19" s="57">
        <v>4785.3810691504677</v>
      </c>
      <c r="Q19" s="57">
        <v>4451.3163425945331</v>
      </c>
      <c r="R19" s="57">
        <v>4180.5019133060741</v>
      </c>
      <c r="S19" s="57">
        <v>3957.0986573186765</v>
      </c>
      <c r="T19" s="57">
        <v>3770.1390777651532</v>
      </c>
      <c r="U19" s="57">
        <v>3611.7875280113967</v>
      </c>
      <c r="V19" s="57">
        <v>3476.2963500102683</v>
      </c>
    </row>
    <row r="20" spans="6:22" x14ac:dyDescent="0.35">
      <c r="F20" s="329"/>
      <c r="G20" s="56">
        <v>0.08</v>
      </c>
      <c r="H20" s="57">
        <v>32620.660907032903</v>
      </c>
      <c r="I20" s="57">
        <v>16960.234296069055</v>
      </c>
      <c r="J20" s="57">
        <v>11751.137048036569</v>
      </c>
      <c r="K20" s="57">
        <v>9154.8458780634319</v>
      </c>
      <c r="L20" s="57">
        <v>7603.6478581551301</v>
      </c>
      <c r="M20" s="57">
        <v>6574.9652294822963</v>
      </c>
      <c r="N20" s="57">
        <v>5844.8304010010779</v>
      </c>
      <c r="O20" s="57">
        <v>5301.2547204543016</v>
      </c>
      <c r="P20" s="57">
        <v>4882.01808271358</v>
      </c>
      <c r="Q20" s="57">
        <v>4549.7847883258846</v>
      </c>
      <c r="R20" s="57">
        <v>4280.7925829411306</v>
      </c>
      <c r="S20" s="57">
        <v>4059.1971877630563</v>
      </c>
      <c r="T20" s="57">
        <v>3874.0270556290234</v>
      </c>
      <c r="U20" s="57">
        <v>3717.4432389303774</v>
      </c>
      <c r="V20" s="57">
        <v>3583.6953162388181</v>
      </c>
    </row>
    <row r="21" spans="6:22" x14ac:dyDescent="0.35">
      <c r="F21" s="329"/>
      <c r="G21" s="56">
        <v>8.5000000000000006E-2</v>
      </c>
      <c r="H21" s="57">
        <v>32707.418422534774</v>
      </c>
      <c r="I21" s="57">
        <v>17045.878080519764</v>
      </c>
      <c r="J21" s="57">
        <v>11837.826533834024</v>
      </c>
      <c r="K21" s="57">
        <v>9243.1137595633918</v>
      </c>
      <c r="L21" s="57">
        <v>7693.6992476442192</v>
      </c>
      <c r="M21" s="57">
        <v>6666.8942307262078</v>
      </c>
      <c r="N21" s="57">
        <v>5938.6820389277609</v>
      </c>
      <c r="O21" s="57">
        <v>5397.0482187357456</v>
      </c>
      <c r="P21" s="57">
        <v>4979.7572646085891</v>
      </c>
      <c r="Q21" s="57">
        <v>4649.4633327941674</v>
      </c>
      <c r="R21" s="57">
        <v>4382.3969470693673</v>
      </c>
      <c r="S21" s="57">
        <v>4162.7083661794095</v>
      </c>
      <c r="T21" s="57">
        <v>3979.4217166447233</v>
      </c>
      <c r="U21" s="57">
        <v>3824.6945067276683</v>
      </c>
      <c r="V21" s="57">
        <v>3692.7733422209749</v>
      </c>
    </row>
    <row r="22" spans="6:22" x14ac:dyDescent="0.35">
      <c r="F22" s="329"/>
      <c r="G22" s="56">
        <v>0.09</v>
      </c>
      <c r="H22" s="57">
        <v>32794.303788720536</v>
      </c>
      <c r="I22" s="57">
        <v>17131.778354689912</v>
      </c>
      <c r="J22" s="57">
        <v>11924.899747477757</v>
      </c>
      <c r="K22" s="57">
        <v>9331.8908902253297</v>
      </c>
      <c r="L22" s="57">
        <v>7784.3832098827525</v>
      </c>
      <c r="M22" s="57">
        <v>6759.5764381019371</v>
      </c>
      <c r="N22" s="57">
        <v>6033.4043475144563</v>
      </c>
      <c r="O22" s="57">
        <v>5493.8262276348623</v>
      </c>
      <c r="P22" s="57">
        <v>5078.5907449264705</v>
      </c>
      <c r="Q22" s="57">
        <v>4750.3415156343553</v>
      </c>
      <c r="R22" s="57">
        <v>4485.3014807683421</v>
      </c>
      <c r="S22" s="57">
        <v>4267.6151128515221</v>
      </c>
      <c r="T22" s="57">
        <v>4086.3019272354363</v>
      </c>
      <c r="U22" s="57">
        <v>3933.5156433845991</v>
      </c>
      <c r="V22" s="57">
        <v>3803.4996906066935</v>
      </c>
    </row>
    <row r="23" spans="6:22" x14ac:dyDescent="0.35">
      <c r="F23" s="329"/>
      <c r="G23" s="56">
        <v>9.5000000000000001E-2</v>
      </c>
      <c r="H23" s="57">
        <v>32881.316915249219</v>
      </c>
      <c r="I23" s="57">
        <v>17217.934870846992</v>
      </c>
      <c r="J23" s="57">
        <v>12012.356152793132</v>
      </c>
      <c r="K23" s="57">
        <v>9421.1762516008894</v>
      </c>
      <c r="L23" s="57">
        <v>7875.6979911433154</v>
      </c>
      <c r="M23" s="57">
        <v>6853.0090549822235</v>
      </c>
      <c r="N23" s="57">
        <v>6128.9931304869078</v>
      </c>
      <c r="O23" s="57">
        <v>5591.5827516674663</v>
      </c>
      <c r="P23" s="57">
        <v>5178.5102935936957</v>
      </c>
      <c r="Q23" s="57">
        <v>4852.4084085291388</v>
      </c>
      <c r="R23" s="57">
        <v>4589.4920734759198</v>
      </c>
      <c r="S23" s="57">
        <v>4373.8996387810103</v>
      </c>
      <c r="T23" s="57">
        <v>4194.6457198094404</v>
      </c>
      <c r="U23" s="57">
        <v>4043.8800067313305</v>
      </c>
      <c r="V23" s="57">
        <v>3915.8425607391991</v>
      </c>
    </row>
    <row r="24" spans="6:22" x14ac:dyDescent="0.35">
      <c r="F24" s="329"/>
      <c r="G24" s="56">
        <v>0.1</v>
      </c>
      <c r="H24" s="57">
        <v>32968.457711253599</v>
      </c>
      <c r="I24" s="57">
        <v>17304.34737656869</v>
      </c>
      <c r="J24" s="57">
        <v>12100.195197689056</v>
      </c>
      <c r="K24" s="57">
        <v>9510.9687880301972</v>
      </c>
      <c r="L24" s="57">
        <v>7967.6417667256037</v>
      </c>
      <c r="M24" s="57">
        <v>6947.1891659139292</v>
      </c>
      <c r="N24" s="57">
        <v>6225.4440100822148</v>
      </c>
      <c r="O24" s="57">
        <v>5690.3115366766242</v>
      </c>
      <c r="P24" s="57">
        <v>5279.507331514209</v>
      </c>
      <c r="Q24" s="57">
        <v>4955.6526330660618</v>
      </c>
      <c r="R24" s="57">
        <v>4694.9540562484508</v>
      </c>
      <c r="S24" s="57">
        <v>4481.5434856025013</v>
      </c>
      <c r="T24" s="57">
        <v>4304.4303491462906</v>
      </c>
      <c r="U24" s="57">
        <v>4155.7600776322852</v>
      </c>
      <c r="V24" s="57">
        <v>4029.7691914054358</v>
      </c>
    </row>
  </sheetData>
  <mergeCells count="3">
    <mergeCell ref="F6:F24"/>
    <mergeCell ref="G4:V4"/>
    <mergeCell ref="B2:V2"/>
  </mergeCells>
  <conditionalFormatting sqref="H6:V24">
    <cfRule type="cellIs" dxfId="112" priority="1" operator="lessThan">
      <formula>$D$11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59999389629810485"/>
  </sheetPr>
  <dimension ref="B2:I11"/>
  <sheetViews>
    <sheetView zoomScale="80" zoomScaleNormal="80" workbookViewId="0">
      <selection activeCell="D11" sqref="D11"/>
    </sheetView>
  </sheetViews>
  <sheetFormatPr defaultRowHeight="14.5" x14ac:dyDescent="0.35"/>
  <cols>
    <col min="2" max="2" width="19.08984375" bestFit="1" customWidth="1"/>
    <col min="3" max="3" width="5.08984375" customWidth="1"/>
    <col min="4" max="4" width="11.26953125" bestFit="1" customWidth="1"/>
    <col min="5" max="5" width="6.08984375" customWidth="1"/>
    <col min="6" max="6" width="13" customWidth="1"/>
    <col min="7" max="9" width="32.36328125" customWidth="1"/>
  </cols>
  <sheetData>
    <row r="2" spans="2:9" ht="23.5" x14ac:dyDescent="0.35">
      <c r="B2" s="326" t="s">
        <v>727</v>
      </c>
      <c r="C2" s="327"/>
      <c r="D2" s="327"/>
      <c r="E2" s="327"/>
      <c r="F2" s="327"/>
      <c r="G2" s="327"/>
      <c r="H2" s="327"/>
      <c r="I2" s="327"/>
    </row>
    <row r="4" spans="2:9" ht="45" customHeight="1" x14ac:dyDescent="0.35">
      <c r="B4" s="63" t="s">
        <v>715</v>
      </c>
      <c r="C4" s="64"/>
      <c r="D4" s="65">
        <v>250000</v>
      </c>
      <c r="F4" s="331" t="s">
        <v>738</v>
      </c>
      <c r="G4" s="331"/>
      <c r="H4" s="331"/>
      <c r="I4" s="331"/>
    </row>
    <row r="5" spans="2:9" ht="45" customHeight="1" x14ac:dyDescent="0.35">
      <c r="B5" s="66" t="s">
        <v>716</v>
      </c>
      <c r="C5" s="62"/>
      <c r="D5" s="67">
        <v>100000</v>
      </c>
      <c r="F5" s="73"/>
      <c r="G5" s="74" t="s">
        <v>728</v>
      </c>
      <c r="H5" s="74" t="s">
        <v>733</v>
      </c>
      <c r="I5" s="74" t="s">
        <v>729</v>
      </c>
    </row>
    <row r="6" spans="2:9" ht="45" customHeight="1" x14ac:dyDescent="0.35">
      <c r="B6" s="66" t="s">
        <v>717</v>
      </c>
      <c r="C6" s="62"/>
      <c r="D6" s="67">
        <v>25000</v>
      </c>
      <c r="F6" s="74" t="s">
        <v>740</v>
      </c>
      <c r="G6" s="61" t="s">
        <v>765</v>
      </c>
      <c r="H6" s="61" t="s">
        <v>757</v>
      </c>
      <c r="I6" s="61" t="s">
        <v>739</v>
      </c>
    </row>
    <row r="7" spans="2:9" ht="45" customHeight="1" x14ac:dyDescent="0.35">
      <c r="B7" s="66" t="s">
        <v>719</v>
      </c>
      <c r="C7" s="62"/>
      <c r="D7" s="67">
        <f>SUM(D4:D6)</f>
        <v>375000</v>
      </c>
      <c r="F7" s="74" t="s">
        <v>730</v>
      </c>
      <c r="G7" s="61" t="s">
        <v>735</v>
      </c>
      <c r="H7" s="61" t="s">
        <v>734</v>
      </c>
      <c r="I7" s="61" t="s">
        <v>737</v>
      </c>
    </row>
    <row r="8" spans="2:9" ht="45" customHeight="1" x14ac:dyDescent="0.35">
      <c r="B8" s="66" t="s">
        <v>721</v>
      </c>
      <c r="C8" s="62"/>
      <c r="D8" s="68">
        <v>4.4999999999999998E-2</v>
      </c>
      <c r="F8" s="74" t="s">
        <v>731</v>
      </c>
      <c r="G8" s="61" t="s">
        <v>732</v>
      </c>
      <c r="H8" s="61" t="s">
        <v>756</v>
      </c>
      <c r="I8" s="61" t="s">
        <v>736</v>
      </c>
    </row>
    <row r="9" spans="2:9" ht="45" customHeight="1" x14ac:dyDescent="0.35">
      <c r="B9" s="66" t="s">
        <v>720</v>
      </c>
      <c r="C9" s="62"/>
      <c r="D9" s="69">
        <v>5</v>
      </c>
    </row>
    <row r="10" spans="2:9" ht="45" customHeight="1" x14ac:dyDescent="0.35">
      <c r="B10" s="66" t="s">
        <v>722</v>
      </c>
      <c r="C10" s="62"/>
      <c r="D10" s="67">
        <f>ABS(CUMIPMT(D8/12,D9*12,D7,1,D9*12,1))</f>
        <v>42900.804915690795</v>
      </c>
    </row>
    <row r="11" spans="2:9" ht="45" customHeight="1" x14ac:dyDescent="0.35">
      <c r="B11" s="70" t="s">
        <v>718</v>
      </c>
      <c r="C11" s="71"/>
      <c r="D11" s="72">
        <f>PMT((D8/12),(D9*12),-(D7))</f>
        <v>6991.132215568744</v>
      </c>
    </row>
  </sheetData>
  <scenarios current="2" show="2" sqref="D11">
    <scenario name="Investor" locked="1" count="4" user="Shyam Parmar" comment="Created by Shyam Parmar on 4/21/2021_x000a_Modified by Shyam Parmar on 4/21/2021">
      <inputCells r="D4" val="275000" numFmtId="164"/>
      <inputCells r="D6" val="50000" numFmtId="164"/>
      <inputCells r="D9" val="6" numFmtId="3"/>
      <inputCells r="D8" val="0.04" numFmtId="165"/>
    </scenario>
    <scenario name="Low Prices" locked="1" count="3" user="Shyam Parmar" comment="Created by Shyam Parmar on 4/21/2021_x000a_Modified by Shyam Parmar on 4/21/2021_x000a_Modified by Shyam Parmar on 4/25/2021">
      <inputCells r="D5" val="60000" numFmtId="164"/>
      <inputCells r="D8" val="0.1" numFmtId="165"/>
      <inputCells r="D9" val="5" numFmtId="3"/>
    </scenario>
    <scenario name="Lottery" locked="1" count="3" user="Shyam Parmar" comment="Created by Shyam Parmar on 4/21/2021_x000a_Modified by Shyam Parmar on 4/21/2021">
      <inputCells r="D5" val="95000" numFmtId="164"/>
      <inputCells r="D9" val="4" numFmtId="3"/>
      <inputCells r="D8" val="0.045" numFmtId="165"/>
    </scenario>
  </scenarios>
  <mergeCells count="2">
    <mergeCell ref="B2:I2"/>
    <mergeCell ref="F4:I4"/>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7" tint="0.59999389629810485"/>
    <outlinePr summaryBelow="0"/>
  </sheetPr>
  <dimension ref="B1:G15"/>
  <sheetViews>
    <sheetView workbookViewId="0">
      <selection activeCell="F23" sqref="F23"/>
    </sheetView>
  </sheetViews>
  <sheetFormatPr defaultRowHeight="14.5" outlineLevelRow="1" outlineLevelCol="1" x14ac:dyDescent="0.35"/>
  <cols>
    <col min="3" max="3" width="6.08984375" customWidth="1"/>
    <col min="4" max="7" width="12.54296875" bestFit="1" customWidth="1" outlineLevel="1"/>
  </cols>
  <sheetData>
    <row r="1" spans="2:7" ht="15" thickBot="1" x14ac:dyDescent="0.4"/>
    <row r="2" spans="2:7" ht="15.5" x14ac:dyDescent="0.35">
      <c r="B2" s="236" t="s">
        <v>750</v>
      </c>
      <c r="C2" s="233"/>
      <c r="D2" s="85"/>
      <c r="E2" s="85"/>
      <c r="F2" s="85"/>
      <c r="G2" s="85"/>
    </row>
    <row r="3" spans="2:7" ht="15.5" collapsed="1" x14ac:dyDescent="0.35">
      <c r="B3" s="234"/>
      <c r="C3" s="234"/>
      <c r="D3" s="86" t="s">
        <v>912</v>
      </c>
      <c r="E3" s="86" t="s">
        <v>747</v>
      </c>
      <c r="F3" s="86" t="s">
        <v>758</v>
      </c>
      <c r="G3" s="86" t="s">
        <v>749</v>
      </c>
    </row>
    <row r="4" spans="2:7" ht="94.5" hidden="1" outlineLevel="1" x14ac:dyDescent="0.35">
      <c r="B4" s="222"/>
      <c r="C4" s="222"/>
      <c r="D4" s="75"/>
      <c r="E4" s="84" t="s">
        <v>748</v>
      </c>
      <c r="F4" s="84" t="s">
        <v>884</v>
      </c>
      <c r="G4" s="84" t="s">
        <v>748</v>
      </c>
    </row>
    <row r="5" spans="2:7" x14ac:dyDescent="0.35">
      <c r="B5" s="223" t="s">
        <v>751</v>
      </c>
      <c r="C5" s="223"/>
      <c r="D5" s="80"/>
      <c r="E5" s="80"/>
      <c r="F5" s="80"/>
      <c r="G5" s="80"/>
    </row>
    <row r="6" spans="2:7" outlineLevel="1" x14ac:dyDescent="0.35">
      <c r="B6" s="222"/>
      <c r="C6" s="222" t="s">
        <v>741</v>
      </c>
      <c r="D6" s="76">
        <v>250000</v>
      </c>
      <c r="E6" s="81">
        <v>275000</v>
      </c>
      <c r="F6" s="76">
        <v>250000</v>
      </c>
      <c r="G6" s="76">
        <v>250000</v>
      </c>
    </row>
    <row r="7" spans="2:7" outlineLevel="1" x14ac:dyDescent="0.35">
      <c r="B7" s="222"/>
      <c r="C7" s="222" t="s">
        <v>742</v>
      </c>
      <c r="D7" s="76">
        <v>25000</v>
      </c>
      <c r="E7" s="81">
        <v>50000</v>
      </c>
      <c r="F7" s="76">
        <v>25000</v>
      </c>
      <c r="G7" s="76">
        <v>25000</v>
      </c>
    </row>
    <row r="8" spans="2:7" outlineLevel="1" x14ac:dyDescent="0.35">
      <c r="B8" s="222"/>
      <c r="C8" s="222" t="s">
        <v>743</v>
      </c>
      <c r="D8" s="77">
        <v>5</v>
      </c>
      <c r="E8" s="82">
        <v>6</v>
      </c>
      <c r="F8" s="82">
        <v>5</v>
      </c>
      <c r="G8" s="82">
        <v>4</v>
      </c>
    </row>
    <row r="9" spans="2:7" outlineLevel="1" x14ac:dyDescent="0.35">
      <c r="B9" s="222"/>
      <c r="C9" s="222" t="s">
        <v>744</v>
      </c>
      <c r="D9" s="78">
        <v>4.4999999999999998E-2</v>
      </c>
      <c r="E9" s="83">
        <v>0.04</v>
      </c>
      <c r="F9" s="83">
        <v>0.1</v>
      </c>
      <c r="G9" s="83">
        <v>4.4999999999999998E-2</v>
      </c>
    </row>
    <row r="10" spans="2:7" outlineLevel="1" x14ac:dyDescent="0.35">
      <c r="B10" s="222"/>
      <c r="C10" s="222" t="s">
        <v>745</v>
      </c>
      <c r="D10" s="76">
        <v>100000</v>
      </c>
      <c r="E10" s="76">
        <v>100000</v>
      </c>
      <c r="F10" s="81">
        <v>60000</v>
      </c>
      <c r="G10" s="81">
        <v>95000</v>
      </c>
    </row>
    <row r="11" spans="2:7" x14ac:dyDescent="0.35">
      <c r="B11" s="223" t="s">
        <v>752</v>
      </c>
      <c r="C11" s="223"/>
      <c r="D11" s="80"/>
      <c r="E11" s="80"/>
      <c r="F11" s="80"/>
      <c r="G11" s="80"/>
    </row>
    <row r="12" spans="2:7" ht="15" outlineLevel="1" thickBot="1" x14ac:dyDescent="0.4">
      <c r="B12" s="224"/>
      <c r="C12" s="224" t="s">
        <v>746</v>
      </c>
      <c r="D12" s="79">
        <v>6991.1322155687403</v>
      </c>
      <c r="E12" s="79">
        <v>6649.2028058305596</v>
      </c>
      <c r="F12" s="79">
        <v>7117.7599782748703</v>
      </c>
      <c r="G12" s="79">
        <v>8437.2898486495706</v>
      </c>
    </row>
    <row r="13" spans="2:7" x14ac:dyDescent="0.35">
      <c r="B13" t="s">
        <v>753</v>
      </c>
    </row>
    <row r="14" spans="2:7" x14ac:dyDescent="0.35">
      <c r="B14" t="s">
        <v>754</v>
      </c>
    </row>
    <row r="15" spans="2:7" x14ac:dyDescent="0.35">
      <c r="B15" t="s">
        <v>755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8" tint="0.59999389629810485"/>
  </sheetPr>
  <dimension ref="B2:L404"/>
  <sheetViews>
    <sheetView zoomScaleNormal="100" workbookViewId="0">
      <selection activeCell="E19" sqref="E19"/>
    </sheetView>
  </sheetViews>
  <sheetFormatPr defaultRowHeight="14.5" x14ac:dyDescent="0.35"/>
  <cols>
    <col min="1" max="1" width="4.90625" customWidth="1"/>
    <col min="2" max="2" width="51.26953125" customWidth="1"/>
    <col min="3" max="3" width="5" customWidth="1"/>
    <col min="4" max="4" width="12.26953125" customWidth="1"/>
    <col min="5" max="5" width="49.26953125" bestFit="1" customWidth="1"/>
    <col min="6" max="6" width="9.36328125" customWidth="1"/>
    <col min="7" max="7" width="12.26953125" bestFit="1" customWidth="1"/>
    <col min="8" max="8" width="8.6328125" customWidth="1"/>
    <col min="9" max="9" width="10.81640625" customWidth="1"/>
  </cols>
  <sheetData>
    <row r="2" spans="2:12" ht="23.5" x14ac:dyDescent="0.35">
      <c r="B2" s="326" t="s">
        <v>713</v>
      </c>
      <c r="C2" s="327"/>
      <c r="D2" s="327"/>
      <c r="E2" s="327"/>
      <c r="F2" s="327"/>
      <c r="G2" s="327"/>
      <c r="H2" s="327"/>
      <c r="I2" s="327"/>
    </row>
    <row r="4" spans="2:12" ht="29" x14ac:dyDescent="0.35">
      <c r="B4" s="5" t="s">
        <v>409</v>
      </c>
      <c r="C4" s="6"/>
      <c r="D4" s="5" t="s">
        <v>334</v>
      </c>
      <c r="E4" s="5" t="s">
        <v>406</v>
      </c>
      <c r="F4" s="5" t="s">
        <v>407</v>
      </c>
      <c r="G4" s="7"/>
      <c r="H4" s="5" t="s">
        <v>408</v>
      </c>
      <c r="I4" s="5" t="s">
        <v>410</v>
      </c>
      <c r="J4" s="2"/>
      <c r="K4" s="2"/>
      <c r="L4" s="2"/>
    </row>
    <row r="5" spans="2:12" x14ac:dyDescent="0.35">
      <c r="B5" s="1" t="s">
        <v>21</v>
      </c>
      <c r="C5" s="1"/>
      <c r="D5" t="str">
        <f>LEFT(B5,6)</f>
        <v>a78923</v>
      </c>
      <c r="E5" s="1" t="str">
        <f>MID(B5,8,H5-9)</f>
        <v>NB TRIPPEL BELGIAN STYLE ALE 4/6NR</v>
      </c>
      <c r="F5" s="1" t="str">
        <f>TRIM(RIGHT(B5,I5-H5))</f>
        <v>12OZ</v>
      </c>
      <c r="G5" s="3"/>
      <c r="H5" s="4">
        <f>FIND("-",B5)</f>
        <v>43</v>
      </c>
      <c r="I5">
        <f>LEN(B5)</f>
        <v>48</v>
      </c>
    </row>
    <row r="6" spans="2:12" x14ac:dyDescent="0.35">
      <c r="B6" s="1" t="s">
        <v>270</v>
      </c>
      <c r="C6" s="1"/>
      <c r="D6" t="str">
        <f t="shared" ref="D6:D69" si="0">LEFT(B6,6)</f>
        <v>b89237</v>
      </c>
      <c r="E6" s="1" t="str">
        <f t="shared" ref="E6:E68" si="1">MID(B6,8,H6-9)</f>
        <v>STEEL RESERVE BLACKBERRY S 12/CS</v>
      </c>
      <c r="F6" s="1" t="str">
        <f>TRIM(RIGHT(B6,I6-H6))</f>
        <v>24OZ</v>
      </c>
      <c r="G6" s="3"/>
      <c r="H6" s="4">
        <f>FIND("-",B6)</f>
        <v>41</v>
      </c>
      <c r="I6">
        <f t="shared" ref="I6:I69" si="2">LEN(B6)</f>
        <v>46</v>
      </c>
    </row>
    <row r="7" spans="2:12" x14ac:dyDescent="0.35">
      <c r="B7" s="1" t="s">
        <v>22</v>
      </c>
      <c r="C7" s="1"/>
      <c r="D7" t="str">
        <f t="shared" si="0"/>
        <v>c98349</v>
      </c>
      <c r="E7" s="1" t="str">
        <f t="shared" si="1"/>
        <v>FRANZIA BURGUNDY BIB</v>
      </c>
      <c r="F7" s="1" t="str">
        <f t="shared" ref="F7:F70" si="3">TRIM(RIGHT(B7,I7-H7))</f>
        <v>5L</v>
      </c>
      <c r="G7" s="3"/>
      <c r="H7" s="4">
        <f t="shared" ref="H7:H70" si="4">FIND("-",B7)</f>
        <v>29</v>
      </c>
      <c r="I7">
        <f t="shared" si="2"/>
        <v>32</v>
      </c>
    </row>
    <row r="8" spans="2:12" x14ac:dyDescent="0.35">
      <c r="B8" s="1" t="s">
        <v>23</v>
      </c>
      <c r="C8" s="1"/>
      <c r="D8" t="str">
        <f t="shared" si="0"/>
        <v>d35616</v>
      </c>
      <c r="E8" s="1" t="str">
        <f t="shared" si="1"/>
        <v>BLUE MOON 4/6 NR</v>
      </c>
      <c r="F8" s="1" t="str">
        <f t="shared" si="3"/>
        <v>12OZ</v>
      </c>
      <c r="G8" s="3"/>
      <c r="H8" s="4">
        <f t="shared" si="4"/>
        <v>25</v>
      </c>
      <c r="I8">
        <f t="shared" si="2"/>
        <v>30</v>
      </c>
    </row>
    <row r="9" spans="2:12" x14ac:dyDescent="0.35">
      <c r="B9" s="1" t="s">
        <v>382</v>
      </c>
      <c r="C9" s="1"/>
      <c r="D9" t="str">
        <f t="shared" si="0"/>
        <v>e61109</v>
      </c>
      <c r="E9" s="1" t="str">
        <f t="shared" si="1"/>
        <v>MODELO ESPECIAL</v>
      </c>
      <c r="F9" s="1" t="str">
        <f t="shared" si="3"/>
        <v>12OZ</v>
      </c>
      <c r="G9" s="3"/>
      <c r="H9" s="4">
        <f t="shared" si="4"/>
        <v>24</v>
      </c>
      <c r="I9">
        <f t="shared" si="2"/>
        <v>29</v>
      </c>
    </row>
    <row r="10" spans="2:12" x14ac:dyDescent="0.35">
      <c r="B10" s="1" t="s">
        <v>24</v>
      </c>
      <c r="C10" s="1"/>
      <c r="D10" t="str">
        <f t="shared" si="0"/>
        <v>f20019</v>
      </c>
      <c r="E10" s="1" t="str">
        <f t="shared" si="1"/>
        <v>JACK DANIELS BLACK</v>
      </c>
      <c r="F10" s="1" t="str">
        <f t="shared" si="3"/>
        <v>750ML</v>
      </c>
      <c r="G10" s="3"/>
      <c r="H10" s="4">
        <f t="shared" si="4"/>
        <v>27</v>
      </c>
      <c r="I10">
        <f t="shared" si="2"/>
        <v>33</v>
      </c>
    </row>
    <row r="11" spans="2:12" x14ac:dyDescent="0.35">
      <c r="B11" s="1" t="s">
        <v>271</v>
      </c>
      <c r="C11" s="1"/>
      <c r="D11" t="str">
        <f t="shared" si="0"/>
        <v>g14574</v>
      </c>
      <c r="E11" s="1" t="str">
        <f t="shared" si="1"/>
        <v>MOLSON ADIAN 2/12 LNNR</v>
      </c>
      <c r="F11" s="1" t="str">
        <f t="shared" si="3"/>
        <v>12OZ</v>
      </c>
      <c r="G11" s="3"/>
      <c r="H11" s="4">
        <f t="shared" si="4"/>
        <v>31</v>
      </c>
      <c r="I11">
        <f t="shared" si="2"/>
        <v>36</v>
      </c>
    </row>
    <row r="12" spans="2:12" x14ac:dyDescent="0.35">
      <c r="B12" s="1" t="s">
        <v>371</v>
      </c>
      <c r="C12" s="1"/>
      <c r="D12" t="str">
        <f t="shared" si="0"/>
        <v>h81585</v>
      </c>
      <c r="E12" s="1" t="str">
        <f t="shared" si="1"/>
        <v>SAM ADAMS FALL VARIETY 12P</v>
      </c>
      <c r="F12" s="1" t="str">
        <f t="shared" si="3"/>
        <v>24OZ</v>
      </c>
      <c r="G12" s="3"/>
      <c r="H12" s="4">
        <f t="shared" si="4"/>
        <v>35</v>
      </c>
      <c r="I12">
        <f t="shared" si="2"/>
        <v>40</v>
      </c>
    </row>
    <row r="13" spans="2:12" x14ac:dyDescent="0.35">
      <c r="B13" s="1" t="s">
        <v>25</v>
      </c>
      <c r="C13" s="1"/>
      <c r="D13" t="str">
        <f t="shared" si="0"/>
        <v>i25993</v>
      </c>
      <c r="E13" s="1" t="str">
        <f t="shared" si="1"/>
        <v>CROIX D'OR SYRAH ROSE</v>
      </c>
      <c r="F13" s="1" t="str">
        <f t="shared" si="3"/>
        <v>750ML</v>
      </c>
      <c r="G13" s="3"/>
      <c r="H13" s="4">
        <f t="shared" si="4"/>
        <v>30</v>
      </c>
      <c r="I13">
        <f t="shared" si="2"/>
        <v>36</v>
      </c>
    </row>
    <row r="14" spans="2:12" x14ac:dyDescent="0.35">
      <c r="B14" s="1" t="s">
        <v>272</v>
      </c>
      <c r="C14" s="1"/>
      <c r="D14" t="str">
        <f t="shared" si="0"/>
        <v>j49516</v>
      </c>
      <c r="E14" s="1" t="str">
        <f t="shared" si="1"/>
        <v xml:space="preserve">MILWAUKEE BEST LT 2/15PK </v>
      </c>
      <c r="F14" s="1" t="str">
        <f t="shared" si="3"/>
        <v>12OZ</v>
      </c>
      <c r="G14" s="3"/>
      <c r="H14" s="4">
        <f t="shared" si="4"/>
        <v>34</v>
      </c>
      <c r="I14">
        <f t="shared" si="2"/>
        <v>39</v>
      </c>
    </row>
    <row r="15" spans="2:12" x14ac:dyDescent="0.35">
      <c r="B15" s="1" t="s">
        <v>26</v>
      </c>
      <c r="C15" s="1"/>
      <c r="D15" t="str">
        <f t="shared" si="0"/>
        <v>k90308</v>
      </c>
      <c r="E15" s="1" t="str">
        <f t="shared" si="1"/>
        <v>LINGANORE STEEPLE CHASE RED</v>
      </c>
      <c r="F15" s="1" t="str">
        <f t="shared" si="3"/>
        <v>750ML</v>
      </c>
      <c r="G15" s="3"/>
      <c r="H15" s="4">
        <f t="shared" si="4"/>
        <v>36</v>
      </c>
      <c r="I15">
        <f t="shared" si="2"/>
        <v>42</v>
      </c>
    </row>
    <row r="16" spans="2:12" x14ac:dyDescent="0.35">
      <c r="B16" s="1" t="s">
        <v>335</v>
      </c>
      <c r="C16" s="1"/>
      <c r="D16" t="str">
        <f t="shared" si="0"/>
        <v>l24563</v>
      </c>
      <c r="E16" s="1" t="str">
        <f t="shared" si="1"/>
        <v>GOOSE ISLAND NEXT COAST IPA 4/6PK</v>
      </c>
      <c r="F16" s="1" t="str">
        <f t="shared" si="3"/>
        <v>12OZ</v>
      </c>
      <c r="G16" s="3"/>
      <c r="H16" s="4">
        <f t="shared" si="4"/>
        <v>42</v>
      </c>
      <c r="I16">
        <f t="shared" si="2"/>
        <v>48</v>
      </c>
    </row>
    <row r="17" spans="2:9" x14ac:dyDescent="0.35">
      <c r="B17" s="1" t="s">
        <v>27</v>
      </c>
      <c r="C17" s="1"/>
      <c r="D17" t="str">
        <f t="shared" si="0"/>
        <v>m82247</v>
      </c>
      <c r="E17" s="1" t="str">
        <f t="shared" si="1"/>
        <v>MILLER LITE 18PK LNNR</v>
      </c>
      <c r="F17" s="1" t="str">
        <f t="shared" si="3"/>
        <v>12OZ</v>
      </c>
      <c r="G17" s="3"/>
      <c r="H17" s="4">
        <f t="shared" si="4"/>
        <v>30</v>
      </c>
      <c r="I17">
        <f t="shared" si="2"/>
        <v>35</v>
      </c>
    </row>
    <row r="18" spans="2:9" x14ac:dyDescent="0.35">
      <c r="B18" s="1" t="s">
        <v>28</v>
      </c>
      <c r="C18" s="1"/>
      <c r="D18" t="str">
        <f t="shared" si="0"/>
        <v>n57620</v>
      </c>
      <c r="E18" s="1" t="str">
        <f t="shared" si="1"/>
        <v>COURVOISIER COGNAC VS</v>
      </c>
      <c r="F18" s="1" t="str">
        <f t="shared" si="3"/>
        <v>750ML</v>
      </c>
      <c r="G18" s="3"/>
      <c r="H18" s="4">
        <f t="shared" si="4"/>
        <v>30</v>
      </c>
      <c r="I18">
        <f t="shared" si="2"/>
        <v>36</v>
      </c>
    </row>
    <row r="19" spans="2:9" x14ac:dyDescent="0.35">
      <c r="B19" s="1" t="s">
        <v>336</v>
      </c>
      <c r="C19" s="1"/>
      <c r="D19" t="str">
        <f t="shared" si="0"/>
        <v>o26180</v>
      </c>
      <c r="E19" s="1" t="str">
        <f t="shared" si="1"/>
        <v>WHITE CLAW MANGO 6/4</v>
      </c>
      <c r="F19" s="1" t="str">
        <f t="shared" si="3"/>
        <v>16OZ</v>
      </c>
      <c r="G19" s="3"/>
      <c r="H19" s="4">
        <f t="shared" si="4"/>
        <v>29</v>
      </c>
      <c r="I19">
        <f t="shared" si="2"/>
        <v>35</v>
      </c>
    </row>
    <row r="20" spans="2:9" x14ac:dyDescent="0.35">
      <c r="B20" s="1" t="s">
        <v>273</v>
      </c>
      <c r="C20" s="1"/>
      <c r="D20" t="str">
        <f t="shared" si="0"/>
        <v>p56202</v>
      </c>
      <c r="E20" s="1" t="str">
        <f t="shared" si="1"/>
        <v>MODELO ESPECIAL SUITCASE S</v>
      </c>
      <c r="F20" s="1" t="str">
        <f t="shared" si="3"/>
        <v>12OZ</v>
      </c>
      <c r="G20" s="3"/>
      <c r="H20" s="4">
        <f t="shared" si="4"/>
        <v>35</v>
      </c>
      <c r="I20">
        <f t="shared" si="2"/>
        <v>40</v>
      </c>
    </row>
    <row r="21" spans="2:9" x14ac:dyDescent="0.35">
      <c r="B21" s="1" t="s">
        <v>29</v>
      </c>
      <c r="C21" s="1"/>
      <c r="D21" t="str">
        <f t="shared" si="0"/>
        <v>q89412</v>
      </c>
      <c r="E21" s="1" t="str">
        <f t="shared" si="1"/>
        <v>NEWCASTLE BROWN ALE 2/12 NR</v>
      </c>
      <c r="F21" s="1" t="str">
        <f t="shared" si="3"/>
        <v>12OZ</v>
      </c>
      <c r="G21" s="3"/>
      <c r="H21" s="4">
        <f t="shared" si="4"/>
        <v>36</v>
      </c>
      <c r="I21">
        <f t="shared" si="2"/>
        <v>41</v>
      </c>
    </row>
    <row r="22" spans="2:9" x14ac:dyDescent="0.35">
      <c r="B22" s="1" t="s">
        <v>30</v>
      </c>
      <c r="C22" s="1"/>
      <c r="D22" t="str">
        <f t="shared" si="0"/>
        <v>r56333</v>
      </c>
      <c r="E22" s="1" t="str">
        <f t="shared" si="1"/>
        <v>LINGANORE SPICED APPLE</v>
      </c>
      <c r="F22" s="1" t="str">
        <f t="shared" si="3"/>
        <v>750ML</v>
      </c>
      <c r="G22" s="3"/>
      <c r="H22" s="4">
        <f t="shared" si="4"/>
        <v>31</v>
      </c>
      <c r="I22">
        <f t="shared" si="2"/>
        <v>37</v>
      </c>
    </row>
    <row r="23" spans="2:9" x14ac:dyDescent="0.35">
      <c r="B23" s="1" t="s">
        <v>31</v>
      </c>
      <c r="C23" s="1"/>
      <c r="D23" t="str">
        <f t="shared" si="0"/>
        <v>s96570</v>
      </c>
      <c r="E23" s="1" t="str">
        <f t="shared" si="1"/>
        <v>CYT FRONTERA CAB/MER</v>
      </c>
      <c r="F23" s="1" t="str">
        <f t="shared" si="3"/>
        <v>1.5L</v>
      </c>
      <c r="G23" s="3"/>
      <c r="H23" s="4">
        <f t="shared" si="4"/>
        <v>29</v>
      </c>
      <c r="I23">
        <f t="shared" si="2"/>
        <v>34</v>
      </c>
    </row>
    <row r="24" spans="2:9" x14ac:dyDescent="0.35">
      <c r="B24" s="1" t="s">
        <v>32</v>
      </c>
      <c r="C24" s="1"/>
      <c r="D24" t="str">
        <f t="shared" si="0"/>
        <v>t26819</v>
      </c>
      <c r="E24" s="1" t="str">
        <f t="shared" si="1"/>
        <v>HEINEKEN 18PK NR</v>
      </c>
      <c r="F24" s="1" t="str">
        <f t="shared" si="3"/>
        <v>12OZ</v>
      </c>
      <c r="G24" s="3"/>
      <c r="H24" s="4">
        <f t="shared" si="4"/>
        <v>25</v>
      </c>
      <c r="I24">
        <f t="shared" si="2"/>
        <v>30</v>
      </c>
    </row>
    <row r="25" spans="2:9" x14ac:dyDescent="0.35">
      <c r="B25" s="1" t="s">
        <v>33</v>
      </c>
      <c r="C25" s="1"/>
      <c r="D25" t="str">
        <f t="shared" si="0"/>
        <v>v45120</v>
      </c>
      <c r="E25" s="1" t="str">
        <f t="shared" si="1"/>
        <v>CAPTAIN MORGAN WHITE RUM</v>
      </c>
      <c r="F25" s="1" t="str">
        <f t="shared" si="3"/>
        <v>1.75L</v>
      </c>
      <c r="G25" s="3"/>
      <c r="H25" s="4">
        <f t="shared" si="4"/>
        <v>33</v>
      </c>
      <c r="I25">
        <f t="shared" si="2"/>
        <v>39</v>
      </c>
    </row>
    <row r="26" spans="2:9" x14ac:dyDescent="0.35">
      <c r="B26" s="1" t="s">
        <v>34</v>
      </c>
      <c r="C26" s="1"/>
      <c r="D26" t="str">
        <f t="shared" si="0"/>
        <v>w53456</v>
      </c>
      <c r="E26" s="1" t="str">
        <f t="shared" si="1"/>
        <v>MAKER'S MARK 90P</v>
      </c>
      <c r="F26" s="1" t="str">
        <f t="shared" si="3"/>
        <v>1.75L</v>
      </c>
      <c r="G26" s="3"/>
      <c r="H26" s="4">
        <f t="shared" si="4"/>
        <v>25</v>
      </c>
      <c r="I26">
        <f t="shared" si="2"/>
        <v>31</v>
      </c>
    </row>
    <row r="27" spans="2:9" x14ac:dyDescent="0.35">
      <c r="B27" s="1" t="s">
        <v>35</v>
      </c>
      <c r="C27" s="1"/>
      <c r="D27" t="str">
        <f t="shared" si="0"/>
        <v>x95119</v>
      </c>
      <c r="E27" s="1" t="str">
        <f t="shared" si="1"/>
        <v>YUENGLING LAGER LOOSE NR</v>
      </c>
      <c r="F27" s="1" t="str">
        <f t="shared" si="3"/>
        <v>12OZ</v>
      </c>
      <c r="G27" s="3"/>
      <c r="H27" s="4">
        <f t="shared" si="4"/>
        <v>33</v>
      </c>
      <c r="I27">
        <f t="shared" si="2"/>
        <v>38</v>
      </c>
    </row>
    <row r="28" spans="2:9" x14ac:dyDescent="0.35">
      <c r="B28" s="1" t="s">
        <v>36</v>
      </c>
      <c r="C28" s="1"/>
      <c r="D28" t="str">
        <f t="shared" si="0"/>
        <v>y99901</v>
      </c>
      <c r="E28" s="1" t="str">
        <f t="shared" si="1"/>
        <v>FREIXENET CORDON NEGRO BRUT</v>
      </c>
      <c r="F28" s="1" t="str">
        <f t="shared" si="3"/>
        <v>750ML</v>
      </c>
      <c r="G28" s="3"/>
      <c r="H28" s="4">
        <f t="shared" si="4"/>
        <v>36</v>
      </c>
      <c r="I28">
        <f t="shared" si="2"/>
        <v>42</v>
      </c>
    </row>
    <row r="29" spans="2:9" x14ac:dyDescent="0.35">
      <c r="B29" s="1" t="s">
        <v>37</v>
      </c>
      <c r="C29" s="1"/>
      <c r="D29" t="str">
        <f t="shared" si="0"/>
        <v>z19694</v>
      </c>
      <c r="E29" s="1" t="str">
        <f t="shared" si="1"/>
        <v>MUMMS BRUT PRESTIGE</v>
      </c>
      <c r="F29" s="1" t="str">
        <f t="shared" si="3"/>
        <v>750ML</v>
      </c>
      <c r="G29" s="3"/>
      <c r="H29" s="4">
        <f t="shared" si="4"/>
        <v>28</v>
      </c>
      <c r="I29">
        <f t="shared" si="2"/>
        <v>34</v>
      </c>
    </row>
    <row r="30" spans="2:9" x14ac:dyDescent="0.35">
      <c r="B30" s="1" t="s">
        <v>38</v>
      </c>
      <c r="C30" s="1"/>
      <c r="D30" t="str">
        <f t="shared" si="0"/>
        <v>a83061</v>
      </c>
      <c r="E30" s="1" t="str">
        <f t="shared" si="1"/>
        <v>FLYING DOG BLOODLINE 4/6NR</v>
      </c>
      <c r="F30" s="1" t="str">
        <f t="shared" si="3"/>
        <v>12OZ</v>
      </c>
      <c r="G30" s="3"/>
      <c r="H30" s="4">
        <f t="shared" si="4"/>
        <v>35</v>
      </c>
      <c r="I30">
        <f t="shared" si="2"/>
        <v>40</v>
      </c>
    </row>
    <row r="31" spans="2:9" x14ac:dyDescent="0.35">
      <c r="B31" s="1" t="s">
        <v>39</v>
      </c>
      <c r="C31" s="1"/>
      <c r="D31" t="str">
        <f t="shared" si="0"/>
        <v>b37138</v>
      </c>
      <c r="E31" s="1" t="str">
        <f t="shared" si="1"/>
        <v>FEVER TREE GINGER BEER 6/4PK</v>
      </c>
      <c r="F31" s="1" t="str">
        <f t="shared" si="3"/>
        <v>200ML</v>
      </c>
      <c r="G31" s="3"/>
      <c r="H31" s="4">
        <f t="shared" si="4"/>
        <v>37</v>
      </c>
      <c r="I31">
        <f t="shared" si="2"/>
        <v>43</v>
      </c>
    </row>
    <row r="32" spans="2:9" x14ac:dyDescent="0.35">
      <c r="B32" s="1" t="s">
        <v>40</v>
      </c>
      <c r="C32" s="1"/>
      <c r="D32" t="str">
        <f t="shared" si="0"/>
        <v>c85369</v>
      </c>
      <c r="E32" s="1" t="str">
        <f t="shared" si="1"/>
        <v>MICHELOB ULTRA 2/12 LNNR</v>
      </c>
      <c r="F32" s="1" t="str">
        <f t="shared" si="3"/>
        <v>12OZ</v>
      </c>
      <c r="G32" s="3"/>
      <c r="H32" s="4">
        <f t="shared" si="4"/>
        <v>33</v>
      </c>
      <c r="I32">
        <f t="shared" si="2"/>
        <v>38</v>
      </c>
    </row>
    <row r="33" spans="2:9" x14ac:dyDescent="0.35">
      <c r="B33" s="1" t="s">
        <v>41</v>
      </c>
      <c r="C33" s="1"/>
      <c r="D33" t="str">
        <f t="shared" si="0"/>
        <v>d82176</v>
      </c>
      <c r="E33" s="1" t="str">
        <f t="shared" si="1"/>
        <v>MODELO ESPECIAL 24 LOOSE NR</v>
      </c>
      <c r="F33" s="1" t="str">
        <f t="shared" si="3"/>
        <v>12OZ</v>
      </c>
      <c r="G33" s="3"/>
      <c r="H33" s="4">
        <f t="shared" si="4"/>
        <v>36</v>
      </c>
      <c r="I33">
        <f t="shared" si="2"/>
        <v>41</v>
      </c>
    </row>
    <row r="34" spans="2:9" x14ac:dyDescent="0.35">
      <c r="B34" s="1" t="s">
        <v>42</v>
      </c>
      <c r="C34" s="1"/>
      <c r="D34" t="str">
        <f t="shared" si="0"/>
        <v>f62682</v>
      </c>
      <c r="E34" s="1" t="str">
        <f t="shared" si="1"/>
        <v>SPY VALLEY ENVOY S/BLC</v>
      </c>
      <c r="F34" s="1" t="str">
        <f t="shared" si="3"/>
        <v>750ML</v>
      </c>
      <c r="G34" s="3"/>
      <c r="H34" s="4">
        <f t="shared" si="4"/>
        <v>31</v>
      </c>
      <c r="I34">
        <f t="shared" si="2"/>
        <v>37</v>
      </c>
    </row>
    <row r="35" spans="2:9" x14ac:dyDescent="0.35">
      <c r="B35" s="1" t="s">
        <v>43</v>
      </c>
      <c r="C35" s="1"/>
      <c r="D35" t="str">
        <f t="shared" si="0"/>
        <v>g51804</v>
      </c>
      <c r="E35" s="1" t="str">
        <f t="shared" si="1"/>
        <v>FLYING DOG DBL DOG PALE ALE 4/6 NR</v>
      </c>
      <c r="F35" s="1" t="str">
        <f t="shared" si="3"/>
        <v>12OZ</v>
      </c>
      <c r="G35" s="3"/>
      <c r="H35" s="4">
        <f t="shared" si="4"/>
        <v>43</v>
      </c>
      <c r="I35">
        <f t="shared" si="2"/>
        <v>48</v>
      </c>
    </row>
    <row r="36" spans="2:9" x14ac:dyDescent="0.35">
      <c r="B36" s="1" t="s">
        <v>44</v>
      </c>
      <c r="C36" s="1"/>
      <c r="D36" t="str">
        <f t="shared" si="0"/>
        <v>h55538</v>
      </c>
      <c r="E36" s="1" t="str">
        <f t="shared" si="1"/>
        <v>EMILIO MORO TINTO</v>
      </c>
      <c r="F36" s="1" t="str">
        <f t="shared" si="3"/>
        <v>750ML</v>
      </c>
      <c r="G36" s="3"/>
      <c r="H36" s="4">
        <f t="shared" si="4"/>
        <v>26</v>
      </c>
      <c r="I36">
        <f t="shared" si="2"/>
        <v>32</v>
      </c>
    </row>
    <row r="37" spans="2:9" x14ac:dyDescent="0.35">
      <c r="B37" s="1" t="s">
        <v>45</v>
      </c>
      <c r="C37" s="1"/>
      <c r="D37" t="str">
        <f t="shared" si="0"/>
        <v>j77302</v>
      </c>
      <c r="E37" s="1" t="str">
        <f t="shared" si="1"/>
        <v>SAINT GREGORY P/MEUNIER</v>
      </c>
      <c r="F37" s="1" t="str">
        <f t="shared" si="3"/>
        <v>750ML</v>
      </c>
      <c r="G37" s="3"/>
      <c r="H37" s="4">
        <f t="shared" si="4"/>
        <v>32</v>
      </c>
      <c r="I37">
        <f t="shared" si="2"/>
        <v>38</v>
      </c>
    </row>
    <row r="38" spans="2:9" x14ac:dyDescent="0.35">
      <c r="B38" s="1" t="s">
        <v>46</v>
      </c>
      <c r="C38" s="1"/>
      <c r="D38" t="str">
        <f t="shared" si="0"/>
        <v>k33005</v>
      </c>
      <c r="E38" s="1" t="str">
        <f t="shared" si="1"/>
        <v>SMIRNOFF VODKA</v>
      </c>
      <c r="F38" s="1" t="str">
        <f t="shared" si="3"/>
        <v>1L</v>
      </c>
      <c r="G38" s="3"/>
      <c r="H38" s="4">
        <f t="shared" si="4"/>
        <v>23</v>
      </c>
      <c r="I38">
        <f t="shared" si="2"/>
        <v>26</v>
      </c>
    </row>
    <row r="39" spans="2:9" x14ac:dyDescent="0.35">
      <c r="B39" s="1" t="s">
        <v>47</v>
      </c>
      <c r="C39" s="1"/>
      <c r="D39" t="str">
        <f t="shared" si="0"/>
        <v>l13809</v>
      </c>
      <c r="E39" s="1" t="str">
        <f t="shared" si="1"/>
        <v>FEVER TREE GINGER BEER 6/4PK</v>
      </c>
      <c r="F39" s="1" t="str">
        <f t="shared" si="3"/>
        <v>200ML</v>
      </c>
      <c r="G39" s="3"/>
      <c r="H39" s="4">
        <f t="shared" si="4"/>
        <v>37</v>
      </c>
      <c r="I39">
        <f t="shared" si="2"/>
        <v>43</v>
      </c>
    </row>
    <row r="40" spans="2:9" x14ac:dyDescent="0.35">
      <c r="B40" s="1" t="s">
        <v>48</v>
      </c>
      <c r="C40" s="1"/>
      <c r="D40" t="str">
        <f t="shared" si="0"/>
        <v>m73908</v>
      </c>
      <c r="E40" s="1" t="str">
        <f t="shared" si="1"/>
        <v>WOODBRIDGE CAB</v>
      </c>
      <c r="F40" s="1" t="str">
        <f t="shared" si="3"/>
        <v>750ML</v>
      </c>
      <c r="G40" s="3"/>
      <c r="H40" s="4">
        <f t="shared" si="4"/>
        <v>23</v>
      </c>
      <c r="I40">
        <f t="shared" si="2"/>
        <v>29</v>
      </c>
    </row>
    <row r="41" spans="2:9" x14ac:dyDescent="0.35">
      <c r="B41" s="1" t="s">
        <v>49</v>
      </c>
      <c r="C41" s="1"/>
      <c r="D41" t="str">
        <f t="shared" si="0"/>
        <v>n77872</v>
      </c>
      <c r="E41" s="1" t="str">
        <f t="shared" si="1"/>
        <v>SIERRA NEVADA PALE ALE 2/12 NR</v>
      </c>
      <c r="F41" s="1" t="str">
        <f t="shared" si="3"/>
        <v>12OZ</v>
      </c>
      <c r="G41" s="3"/>
      <c r="H41" s="4">
        <f t="shared" si="4"/>
        <v>39</v>
      </c>
      <c r="I41">
        <f t="shared" si="2"/>
        <v>44</v>
      </c>
    </row>
    <row r="42" spans="2:9" x14ac:dyDescent="0.35">
      <c r="B42" s="1" t="s">
        <v>50</v>
      </c>
      <c r="C42" s="1"/>
      <c r="D42" t="str">
        <f t="shared" si="0"/>
        <v>o76031</v>
      </c>
      <c r="E42" s="1" t="str">
        <f t="shared" si="1"/>
        <v>CARIB SHANDY GINGER 4/6 NR</v>
      </c>
      <c r="F42" s="1" t="str">
        <f t="shared" si="3"/>
        <v>12OZ</v>
      </c>
      <c r="G42" s="3"/>
      <c r="H42" s="4">
        <f t="shared" si="4"/>
        <v>35</v>
      </c>
      <c r="I42">
        <f t="shared" si="2"/>
        <v>40</v>
      </c>
    </row>
    <row r="43" spans="2:9" x14ac:dyDescent="0.35">
      <c r="B43" s="1" t="s">
        <v>274</v>
      </c>
      <c r="C43" s="1"/>
      <c r="D43" t="str">
        <f t="shared" si="0"/>
        <v>p54341</v>
      </c>
      <c r="E43" s="1" t="str">
        <f t="shared" si="1"/>
        <v xml:space="preserve">YUENGLING LAGER 2/12 </v>
      </c>
      <c r="F43" s="1" t="str">
        <f t="shared" si="3"/>
        <v>12OZ</v>
      </c>
      <c r="G43" s="3"/>
      <c r="H43" s="4">
        <f t="shared" si="4"/>
        <v>30</v>
      </c>
      <c r="I43">
        <f t="shared" si="2"/>
        <v>35</v>
      </c>
    </row>
    <row r="44" spans="2:9" x14ac:dyDescent="0.35">
      <c r="B44" s="1" t="s">
        <v>51</v>
      </c>
      <c r="C44" s="1"/>
      <c r="D44" t="str">
        <f t="shared" si="0"/>
        <v>q36856</v>
      </c>
      <c r="E44" s="1" t="str">
        <f t="shared" si="1"/>
        <v>YELLOW TAIL CHARD</v>
      </c>
      <c r="F44" s="1" t="str">
        <f t="shared" si="3"/>
        <v>1.5L</v>
      </c>
      <c r="G44" s="3"/>
      <c r="H44" s="4">
        <f t="shared" si="4"/>
        <v>26</v>
      </c>
      <c r="I44">
        <f t="shared" si="2"/>
        <v>31</v>
      </c>
    </row>
    <row r="45" spans="2:9" x14ac:dyDescent="0.35">
      <c r="B45" s="1" t="s">
        <v>52</v>
      </c>
      <c r="C45" s="1"/>
      <c r="D45" t="str">
        <f t="shared" si="0"/>
        <v>r41184</v>
      </c>
      <c r="E45" s="1" t="str">
        <f t="shared" si="1"/>
        <v>ANGRY ORCHARD MIX 2/12 NR</v>
      </c>
      <c r="F45" s="1" t="str">
        <f t="shared" si="3"/>
        <v>12OZ</v>
      </c>
      <c r="G45" s="3"/>
      <c r="H45" s="4">
        <f t="shared" si="4"/>
        <v>34</v>
      </c>
      <c r="I45">
        <f t="shared" si="2"/>
        <v>39</v>
      </c>
    </row>
    <row r="46" spans="2:9" x14ac:dyDescent="0.35">
      <c r="B46" s="1" t="s">
        <v>53</v>
      </c>
      <c r="C46" s="1"/>
      <c r="D46" t="str">
        <f t="shared" si="0"/>
        <v>t34693</v>
      </c>
      <c r="E46" s="1" t="str">
        <f t="shared" si="1"/>
        <v>CK MONDAVI P/GRIG</v>
      </c>
      <c r="F46" s="1" t="str">
        <f t="shared" si="3"/>
        <v>1.5L</v>
      </c>
      <c r="G46" s="3"/>
      <c r="H46" s="4">
        <f t="shared" si="4"/>
        <v>26</v>
      </c>
      <c r="I46">
        <f t="shared" si="2"/>
        <v>31</v>
      </c>
    </row>
    <row r="47" spans="2:9" x14ac:dyDescent="0.35">
      <c r="B47" s="1" t="s">
        <v>54</v>
      </c>
      <c r="C47" s="1"/>
      <c r="D47" t="str">
        <f t="shared" si="0"/>
        <v>u65171</v>
      </c>
      <c r="E47" s="1" t="str">
        <f t="shared" si="1"/>
        <v>HEINEKEN 2/12 NR</v>
      </c>
      <c r="F47" s="1" t="str">
        <f t="shared" si="3"/>
        <v>12OZ</v>
      </c>
      <c r="G47" s="3"/>
      <c r="H47" s="4">
        <f t="shared" si="4"/>
        <v>25</v>
      </c>
      <c r="I47">
        <f t="shared" si="2"/>
        <v>30</v>
      </c>
    </row>
    <row r="48" spans="2:9" x14ac:dyDescent="0.35">
      <c r="B48" s="1" t="s">
        <v>55</v>
      </c>
      <c r="C48" s="1"/>
      <c r="D48" t="str">
        <f t="shared" si="0"/>
        <v>v85401</v>
      </c>
      <c r="E48" s="1" t="str">
        <f t="shared" si="1"/>
        <v>VENTA MORALES TEMP ORG</v>
      </c>
      <c r="F48" s="1" t="str">
        <f t="shared" si="3"/>
        <v>750ML</v>
      </c>
      <c r="G48" s="3"/>
      <c r="H48" s="4">
        <f t="shared" si="4"/>
        <v>31</v>
      </c>
      <c r="I48">
        <f t="shared" si="2"/>
        <v>37</v>
      </c>
    </row>
    <row r="49" spans="2:9" x14ac:dyDescent="0.35">
      <c r="B49" s="1" t="s">
        <v>275</v>
      </c>
      <c r="C49" s="1"/>
      <c r="D49" t="str">
        <f t="shared" si="0"/>
        <v>w22326</v>
      </c>
      <c r="E49" s="1" t="str">
        <f t="shared" si="1"/>
        <v xml:space="preserve">MILLER HIGH LIFE 2/12 </v>
      </c>
      <c r="F49" s="1" t="str">
        <f t="shared" si="3"/>
        <v>12OZ</v>
      </c>
      <c r="G49" s="3"/>
      <c r="H49" s="4">
        <f t="shared" si="4"/>
        <v>31</v>
      </c>
      <c r="I49">
        <f t="shared" si="2"/>
        <v>36</v>
      </c>
    </row>
    <row r="50" spans="2:9" x14ac:dyDescent="0.35">
      <c r="B50" s="1" t="s">
        <v>56</v>
      </c>
      <c r="C50" s="1"/>
      <c r="D50" t="str">
        <f t="shared" si="0"/>
        <v>y78401</v>
      </c>
      <c r="E50" s="1" t="str">
        <f t="shared" si="1"/>
        <v>DOS EQUIS AMBER 2/12 NR</v>
      </c>
      <c r="F50" s="1" t="str">
        <f t="shared" si="3"/>
        <v>12OZ</v>
      </c>
      <c r="G50" s="3"/>
      <c r="H50" s="4">
        <f t="shared" si="4"/>
        <v>32</v>
      </c>
      <c r="I50">
        <f t="shared" si="2"/>
        <v>37</v>
      </c>
    </row>
    <row r="51" spans="2:9" x14ac:dyDescent="0.35">
      <c r="B51" s="1" t="s">
        <v>57</v>
      </c>
      <c r="C51" s="1"/>
      <c r="D51" t="str">
        <f t="shared" si="0"/>
        <v>z93747</v>
      </c>
      <c r="E51" s="1" t="str">
        <f t="shared" si="1"/>
        <v>MILLER GEN DRAFT 2/12 LNNR</v>
      </c>
      <c r="F51" s="1" t="str">
        <f t="shared" si="3"/>
        <v>12OZ</v>
      </c>
      <c r="G51" s="3"/>
      <c r="H51" s="4">
        <f t="shared" si="4"/>
        <v>35</v>
      </c>
      <c r="I51">
        <f t="shared" si="2"/>
        <v>40</v>
      </c>
    </row>
    <row r="52" spans="2:9" x14ac:dyDescent="0.35">
      <c r="B52" s="1" t="s">
        <v>58</v>
      </c>
      <c r="C52" s="1"/>
      <c r="D52" t="str">
        <f t="shared" si="0"/>
        <v>a27101</v>
      </c>
      <c r="E52" s="1" t="str">
        <f t="shared" si="1"/>
        <v>N&amp;N TRUCHARD CARN CHARD 16/17</v>
      </c>
      <c r="F52" s="1" t="str">
        <f t="shared" si="3"/>
        <v>750ML</v>
      </c>
      <c r="G52" s="3"/>
      <c r="H52" s="4">
        <f t="shared" si="4"/>
        <v>38</v>
      </c>
      <c r="I52">
        <f t="shared" si="2"/>
        <v>44</v>
      </c>
    </row>
    <row r="53" spans="2:9" x14ac:dyDescent="0.35">
      <c r="B53" s="1" t="s">
        <v>276</v>
      </c>
      <c r="C53" s="1"/>
      <c r="D53" t="str">
        <f t="shared" si="0"/>
        <v>c22096</v>
      </c>
      <c r="E53" s="1" t="str">
        <f t="shared" si="1"/>
        <v xml:space="preserve">MILLER GEN DRAFT 30PK </v>
      </c>
      <c r="F53" s="1" t="str">
        <f t="shared" si="3"/>
        <v>12OZ</v>
      </c>
      <c r="G53" s="3"/>
      <c r="H53" s="4">
        <f t="shared" si="4"/>
        <v>31</v>
      </c>
      <c r="I53">
        <f t="shared" si="2"/>
        <v>36</v>
      </c>
    </row>
    <row r="54" spans="2:9" x14ac:dyDescent="0.35">
      <c r="B54" s="1" t="s">
        <v>59</v>
      </c>
      <c r="C54" s="1"/>
      <c r="D54" t="str">
        <f t="shared" si="0"/>
        <v>d99537</v>
      </c>
      <c r="E54" s="1" t="str">
        <f t="shared" si="1"/>
        <v>HEINEKEN 4/6 NR</v>
      </c>
      <c r="F54" s="1" t="str">
        <f t="shared" si="3"/>
        <v>12OZ</v>
      </c>
      <c r="G54" s="3"/>
      <c r="H54" s="4">
        <f t="shared" si="4"/>
        <v>24</v>
      </c>
      <c r="I54">
        <f t="shared" si="2"/>
        <v>29</v>
      </c>
    </row>
    <row r="55" spans="2:9" x14ac:dyDescent="0.35">
      <c r="B55" s="1" t="s">
        <v>60</v>
      </c>
      <c r="C55" s="1"/>
      <c r="D55" t="str">
        <f t="shared" si="0"/>
        <v>e64957</v>
      </c>
      <c r="E55" s="1" t="str">
        <f t="shared" si="1"/>
        <v>BLUE MOON 4/6 NR</v>
      </c>
      <c r="F55" s="1" t="str">
        <f t="shared" si="3"/>
        <v>12OZ</v>
      </c>
      <c r="G55" s="3"/>
      <c r="H55" s="4">
        <f t="shared" si="4"/>
        <v>25</v>
      </c>
      <c r="I55">
        <f t="shared" si="2"/>
        <v>30</v>
      </c>
    </row>
    <row r="56" spans="2:9" x14ac:dyDescent="0.35">
      <c r="B56" s="1" t="s">
        <v>61</v>
      </c>
      <c r="C56" s="1"/>
      <c r="D56" t="str">
        <f t="shared" si="0"/>
        <v>f43139</v>
      </c>
      <c r="E56" s="1" t="str">
        <f t="shared" si="1"/>
        <v>BAREFOOT CEL RED MOSCATO</v>
      </c>
      <c r="F56" s="1" t="str">
        <f t="shared" si="3"/>
        <v>750ML</v>
      </c>
      <c r="G56" s="3"/>
      <c r="H56" s="4">
        <f t="shared" si="4"/>
        <v>33</v>
      </c>
      <c r="I56">
        <f t="shared" si="2"/>
        <v>39</v>
      </c>
    </row>
    <row r="57" spans="2:9" x14ac:dyDescent="0.35">
      <c r="B57" s="1" t="s">
        <v>277</v>
      </c>
      <c r="C57" s="1"/>
      <c r="D57" t="str">
        <f t="shared" si="0"/>
        <v>g79984</v>
      </c>
      <c r="E57" s="1" t="str">
        <f t="shared" si="1"/>
        <v>DC BRAU PUBLIC PALE ALE 4/6 S</v>
      </c>
      <c r="F57" s="1" t="str">
        <f t="shared" si="3"/>
        <v>12OZ</v>
      </c>
      <c r="G57" s="3"/>
      <c r="H57" s="4">
        <f t="shared" si="4"/>
        <v>38</v>
      </c>
      <c r="I57">
        <f t="shared" si="2"/>
        <v>43</v>
      </c>
    </row>
    <row r="58" spans="2:9" x14ac:dyDescent="0.35">
      <c r="B58" s="1" t="s">
        <v>62</v>
      </c>
      <c r="C58" s="1"/>
      <c r="D58" t="str">
        <f t="shared" si="0"/>
        <v>h65397</v>
      </c>
      <c r="E58" s="1" t="str">
        <f t="shared" si="1"/>
        <v>PEPE LOPEZ DE ORO TEQUILA 80</v>
      </c>
      <c r="F58" s="1" t="str">
        <f t="shared" si="3"/>
        <v>1L</v>
      </c>
      <c r="G58" s="3"/>
      <c r="H58" s="4">
        <f t="shared" si="4"/>
        <v>37</v>
      </c>
      <c r="I58">
        <f t="shared" si="2"/>
        <v>40</v>
      </c>
    </row>
    <row r="59" spans="2:9" x14ac:dyDescent="0.35">
      <c r="B59" s="1" t="s">
        <v>63</v>
      </c>
      <c r="C59" s="1"/>
      <c r="D59" t="str">
        <f t="shared" si="0"/>
        <v>i48032</v>
      </c>
      <c r="E59" s="1" t="str">
        <f t="shared" si="1"/>
        <v>GREY GOOSE VODKA</v>
      </c>
      <c r="F59" s="1" t="str">
        <f t="shared" si="3"/>
        <v>1L</v>
      </c>
      <c r="G59" s="3"/>
      <c r="H59" s="4">
        <f t="shared" si="4"/>
        <v>25</v>
      </c>
      <c r="I59">
        <f t="shared" si="2"/>
        <v>28</v>
      </c>
    </row>
    <row r="60" spans="2:9" x14ac:dyDescent="0.35">
      <c r="B60" s="1" t="s">
        <v>278</v>
      </c>
      <c r="C60" s="1"/>
      <c r="D60" t="str">
        <f t="shared" si="0"/>
        <v>j35522</v>
      </c>
      <c r="E60" s="1" t="str">
        <f t="shared" si="1"/>
        <v>MILLER LITE BIG 18 PK S</v>
      </c>
      <c r="F60" s="1" t="str">
        <f t="shared" si="3"/>
        <v>16OZ</v>
      </c>
      <c r="G60" s="3"/>
      <c r="H60" s="4">
        <f t="shared" si="4"/>
        <v>32</v>
      </c>
      <c r="I60">
        <f t="shared" si="2"/>
        <v>37</v>
      </c>
    </row>
    <row r="61" spans="2:9" x14ac:dyDescent="0.35">
      <c r="B61" s="1" t="s">
        <v>279</v>
      </c>
      <c r="C61" s="1"/>
      <c r="D61" t="str">
        <f t="shared" si="0"/>
        <v>k33097</v>
      </c>
      <c r="E61" s="1" t="str">
        <f t="shared" si="1"/>
        <v xml:space="preserve">MICHELOB ULTRA 30PK </v>
      </c>
      <c r="F61" s="1" t="str">
        <f t="shared" si="3"/>
        <v>12OZ</v>
      </c>
      <c r="G61" s="3"/>
      <c r="H61" s="4">
        <f t="shared" si="4"/>
        <v>29</v>
      </c>
      <c r="I61">
        <f t="shared" si="2"/>
        <v>34</v>
      </c>
    </row>
    <row r="62" spans="2:9" x14ac:dyDescent="0.35">
      <c r="B62" s="1" t="s">
        <v>64</v>
      </c>
      <c r="C62" s="1"/>
      <c r="D62" t="str">
        <f t="shared" si="0"/>
        <v>l55535</v>
      </c>
      <c r="E62" s="1" t="str">
        <f t="shared" si="1"/>
        <v>SANDEMAN FINE TAWNY PORT</v>
      </c>
      <c r="F62" s="1" t="str">
        <f t="shared" si="3"/>
        <v>750ML</v>
      </c>
      <c r="G62" s="3"/>
      <c r="H62" s="4">
        <f t="shared" si="4"/>
        <v>33</v>
      </c>
      <c r="I62">
        <f t="shared" si="2"/>
        <v>39</v>
      </c>
    </row>
    <row r="63" spans="2:9" x14ac:dyDescent="0.35">
      <c r="B63" s="1" t="s">
        <v>280</v>
      </c>
      <c r="C63" s="1"/>
      <c r="D63" t="str">
        <f t="shared" si="0"/>
        <v>n63414</v>
      </c>
      <c r="E63" s="1" t="str">
        <f t="shared" si="1"/>
        <v>SHOCK TOP BELGIUM WHITE 6/4 S</v>
      </c>
      <c r="F63" s="1" t="str">
        <f t="shared" si="3"/>
        <v>16OZ</v>
      </c>
      <c r="G63" s="3"/>
      <c r="H63" s="4">
        <f t="shared" si="4"/>
        <v>38</v>
      </c>
      <c r="I63">
        <f t="shared" si="2"/>
        <v>43</v>
      </c>
    </row>
    <row r="64" spans="2:9" x14ac:dyDescent="0.35">
      <c r="B64" s="1" t="s">
        <v>65</v>
      </c>
      <c r="C64" s="1"/>
      <c r="D64" t="str">
        <f t="shared" si="0"/>
        <v>p24502</v>
      </c>
      <c r="E64" s="1" t="str">
        <f t="shared" si="1"/>
        <v>RED DIAMOND MER</v>
      </c>
      <c r="F64" s="1" t="str">
        <f t="shared" si="3"/>
        <v>750ML</v>
      </c>
      <c r="G64" s="3"/>
      <c r="H64" s="4">
        <f t="shared" si="4"/>
        <v>24</v>
      </c>
      <c r="I64">
        <f t="shared" si="2"/>
        <v>30</v>
      </c>
    </row>
    <row r="65" spans="2:9" x14ac:dyDescent="0.35">
      <c r="B65" s="1" t="s">
        <v>66</v>
      </c>
      <c r="C65" s="1"/>
      <c r="D65" t="str">
        <f t="shared" si="0"/>
        <v>q57466</v>
      </c>
      <c r="E65" s="1" t="str">
        <f t="shared" si="1"/>
        <v>UFO WHITE 4/6 NR</v>
      </c>
      <c r="F65" s="1" t="str">
        <f t="shared" si="3"/>
        <v>12OZ</v>
      </c>
      <c r="G65" s="3"/>
      <c r="H65" s="4">
        <f t="shared" si="4"/>
        <v>25</v>
      </c>
      <c r="I65">
        <f t="shared" si="2"/>
        <v>30</v>
      </c>
    </row>
    <row r="66" spans="2:9" x14ac:dyDescent="0.35">
      <c r="B66" s="1" t="s">
        <v>67</v>
      </c>
      <c r="C66" s="1"/>
      <c r="D66" t="str">
        <f t="shared" si="0"/>
        <v>s63383</v>
      </c>
      <c r="E66" s="1" t="str">
        <f t="shared" si="1"/>
        <v>JAMESON IRISH WHISKEY</v>
      </c>
      <c r="F66" s="1" t="str">
        <f t="shared" si="3"/>
        <v>750ML</v>
      </c>
      <c r="G66" s="3"/>
      <c r="H66" s="4">
        <f t="shared" si="4"/>
        <v>30</v>
      </c>
      <c r="I66">
        <f t="shared" si="2"/>
        <v>36</v>
      </c>
    </row>
    <row r="67" spans="2:9" x14ac:dyDescent="0.35">
      <c r="B67" s="1" t="s">
        <v>68</v>
      </c>
      <c r="C67" s="1"/>
      <c r="D67" t="str">
        <f t="shared" si="0"/>
        <v>t63508</v>
      </c>
      <c r="E67" s="1" t="str">
        <f t="shared" si="1"/>
        <v>MILLER LITE 2/12 LNNR</v>
      </c>
      <c r="F67" s="1" t="str">
        <f t="shared" si="3"/>
        <v>12OZ</v>
      </c>
      <c r="G67" s="3"/>
      <c r="H67" s="4">
        <f t="shared" si="4"/>
        <v>30</v>
      </c>
      <c r="I67">
        <f t="shared" si="2"/>
        <v>35</v>
      </c>
    </row>
    <row r="68" spans="2:9" x14ac:dyDescent="0.35">
      <c r="B68" s="1" t="s">
        <v>281</v>
      </c>
      <c r="C68" s="1"/>
      <c r="D68" t="str">
        <f t="shared" si="0"/>
        <v>u10560</v>
      </c>
      <c r="E68" s="1" t="str">
        <f t="shared" si="1"/>
        <v>MILLER LITE BIG 18 PK S</v>
      </c>
      <c r="F68" s="1" t="str">
        <f t="shared" si="3"/>
        <v>16OZ</v>
      </c>
      <c r="G68" s="3"/>
      <c r="H68" s="4">
        <f t="shared" si="4"/>
        <v>32</v>
      </c>
      <c r="I68">
        <f t="shared" si="2"/>
        <v>37</v>
      </c>
    </row>
    <row r="69" spans="2:9" x14ac:dyDescent="0.35">
      <c r="B69" s="1" t="s">
        <v>69</v>
      </c>
      <c r="C69" s="1"/>
      <c r="D69" t="str">
        <f t="shared" si="0"/>
        <v>v21882</v>
      </c>
      <c r="E69" s="1" t="str">
        <f t="shared" ref="E69:E132" si="5">MID(B69,8,H69-9)</f>
        <v>DECOY SONOMA S/BLC</v>
      </c>
      <c r="F69" s="1" t="str">
        <f t="shared" si="3"/>
        <v>750ML</v>
      </c>
      <c r="G69" s="3"/>
      <c r="H69" s="4">
        <f t="shared" si="4"/>
        <v>27</v>
      </c>
      <c r="I69">
        <f t="shared" si="2"/>
        <v>33</v>
      </c>
    </row>
    <row r="70" spans="2:9" x14ac:dyDescent="0.35">
      <c r="B70" s="1" t="s">
        <v>70</v>
      </c>
      <c r="C70" s="1"/>
      <c r="D70" t="str">
        <f t="shared" ref="D70:D133" si="6">LEFT(B70,6)</f>
        <v>w13086</v>
      </c>
      <c r="E70" s="1" t="str">
        <f t="shared" si="5"/>
        <v>MICHELOB ULTRA 18PK NR</v>
      </c>
      <c r="F70" s="1" t="str">
        <f t="shared" si="3"/>
        <v>12OZ</v>
      </c>
      <c r="G70" s="3"/>
      <c r="H70" s="4">
        <f t="shared" si="4"/>
        <v>31</v>
      </c>
      <c r="I70">
        <f t="shared" ref="I70:I133" si="7">LEN(B70)</f>
        <v>36</v>
      </c>
    </row>
    <row r="71" spans="2:9" x14ac:dyDescent="0.35">
      <c r="B71" s="1" t="s">
        <v>71</v>
      </c>
      <c r="C71" s="1"/>
      <c r="D71" t="str">
        <f t="shared" si="6"/>
        <v>x52760</v>
      </c>
      <c r="E71" s="1" t="str">
        <f t="shared" si="5"/>
        <v>SVEDKA VODKA MANGO PINEAPPLE</v>
      </c>
      <c r="F71" s="1" t="str">
        <f t="shared" ref="F71:F134" si="8">TRIM(RIGHT(B71,I71-H71))</f>
        <v>1.75L</v>
      </c>
      <c r="G71" s="3"/>
      <c r="H71" s="4">
        <f t="shared" ref="H71:H134" si="9">FIND("-",B71)</f>
        <v>37</v>
      </c>
      <c r="I71">
        <f t="shared" si="7"/>
        <v>43</v>
      </c>
    </row>
    <row r="72" spans="2:9" x14ac:dyDescent="0.35">
      <c r="B72" s="1" t="s">
        <v>72</v>
      </c>
      <c r="C72" s="1"/>
      <c r="D72" t="str">
        <f t="shared" si="6"/>
        <v>y89254</v>
      </c>
      <c r="E72" s="1" t="str">
        <f t="shared" si="5"/>
        <v>TSINGTAO 4/6 NR</v>
      </c>
      <c r="F72" s="1" t="str">
        <f t="shared" si="8"/>
        <v>12OZ</v>
      </c>
      <c r="G72" s="3"/>
      <c r="H72" s="4">
        <f t="shared" si="9"/>
        <v>24</v>
      </c>
      <c r="I72">
        <f t="shared" si="7"/>
        <v>29</v>
      </c>
    </row>
    <row r="73" spans="2:9" x14ac:dyDescent="0.35">
      <c r="B73" s="1" t="s">
        <v>73</v>
      </c>
      <c r="C73" s="1"/>
      <c r="D73" t="str">
        <f t="shared" si="6"/>
        <v>z86803</v>
      </c>
      <c r="E73" s="1" t="str">
        <f t="shared" si="5"/>
        <v>AMSTEL LIGHT LOOSE NR</v>
      </c>
      <c r="F73" s="1" t="str">
        <f t="shared" si="8"/>
        <v>12OZ</v>
      </c>
      <c r="G73" s="3"/>
      <c r="H73" s="4">
        <f t="shared" si="9"/>
        <v>30</v>
      </c>
      <c r="I73">
        <f t="shared" si="7"/>
        <v>35</v>
      </c>
    </row>
    <row r="74" spans="2:9" x14ac:dyDescent="0.35">
      <c r="B74" s="1" t="s">
        <v>74</v>
      </c>
      <c r="C74" s="1"/>
      <c r="D74" t="str">
        <f t="shared" si="6"/>
        <v>a39408</v>
      </c>
      <c r="E74" s="1" t="str">
        <f t="shared" si="5"/>
        <v>JACK DANIELS BLACK</v>
      </c>
      <c r="F74" s="1" t="str">
        <f t="shared" si="8"/>
        <v>1.75L</v>
      </c>
      <c r="G74" s="3"/>
      <c r="H74" s="4">
        <f t="shared" si="9"/>
        <v>27</v>
      </c>
      <c r="I74">
        <f t="shared" si="7"/>
        <v>33</v>
      </c>
    </row>
    <row r="75" spans="2:9" x14ac:dyDescent="0.35">
      <c r="B75" s="1" t="s">
        <v>75</v>
      </c>
      <c r="C75" s="1"/>
      <c r="D75" t="str">
        <f t="shared" si="6"/>
        <v>a92546</v>
      </c>
      <c r="E75" s="1" t="str">
        <f t="shared" si="5"/>
        <v>CARIB SHANDY GINGER 4/6 NR</v>
      </c>
      <c r="F75" s="1" t="str">
        <f t="shared" si="8"/>
        <v>12OZ</v>
      </c>
      <c r="G75" s="3"/>
      <c r="H75" s="4">
        <f t="shared" si="9"/>
        <v>35</v>
      </c>
      <c r="I75">
        <f t="shared" si="7"/>
        <v>40</v>
      </c>
    </row>
    <row r="76" spans="2:9" x14ac:dyDescent="0.35">
      <c r="B76" s="1" t="s">
        <v>383</v>
      </c>
      <c r="C76" s="1"/>
      <c r="D76" t="str">
        <f t="shared" si="6"/>
        <v>d72759</v>
      </c>
      <c r="E76" s="1" t="str">
        <f t="shared" si="5"/>
        <v>ATLAS BREW WORKS PONZI</v>
      </c>
      <c r="F76" s="1" t="str">
        <f t="shared" si="8"/>
        <v>12OZ</v>
      </c>
      <c r="G76" s="3"/>
      <c r="H76" s="4">
        <f t="shared" si="9"/>
        <v>31</v>
      </c>
      <c r="I76">
        <f t="shared" si="7"/>
        <v>37</v>
      </c>
    </row>
    <row r="77" spans="2:9" x14ac:dyDescent="0.35">
      <c r="B77" s="1" t="s">
        <v>76</v>
      </c>
      <c r="C77" s="1"/>
      <c r="D77" t="str">
        <f t="shared" si="6"/>
        <v>e69298</v>
      </c>
      <c r="E77" s="1" t="str">
        <f t="shared" si="5"/>
        <v>SWEET BITCH MOSCATO ROSE</v>
      </c>
      <c r="F77" s="1" t="str">
        <f t="shared" si="8"/>
        <v>750ML</v>
      </c>
      <c r="G77" s="3"/>
      <c r="H77" s="4">
        <f t="shared" si="9"/>
        <v>33</v>
      </c>
      <c r="I77">
        <f t="shared" si="7"/>
        <v>39</v>
      </c>
    </row>
    <row r="78" spans="2:9" x14ac:dyDescent="0.35">
      <c r="B78" s="1" t="s">
        <v>77</v>
      </c>
      <c r="C78" s="1"/>
      <c r="D78" t="str">
        <f t="shared" si="6"/>
        <v>f98929</v>
      </c>
      <c r="E78" s="1" t="str">
        <f t="shared" si="5"/>
        <v>MILLER HIGH LIFE 2/12 LNNR</v>
      </c>
      <c r="F78" s="1" t="str">
        <f t="shared" si="8"/>
        <v>12OZ</v>
      </c>
      <c r="G78" s="3"/>
      <c r="H78" s="4">
        <f t="shared" si="9"/>
        <v>35</v>
      </c>
      <c r="I78">
        <f t="shared" si="7"/>
        <v>40</v>
      </c>
    </row>
    <row r="79" spans="2:9" x14ac:dyDescent="0.35">
      <c r="B79" s="1" t="s">
        <v>78</v>
      </c>
      <c r="C79" s="1"/>
      <c r="D79" t="str">
        <f t="shared" si="6"/>
        <v>g52542</v>
      </c>
      <c r="E79" s="1" t="str">
        <f t="shared" si="5"/>
        <v>CA'MONTINI P/GRIGIO</v>
      </c>
      <c r="F79" s="1" t="str">
        <f t="shared" si="8"/>
        <v>750ML</v>
      </c>
      <c r="G79" s="3"/>
      <c r="H79" s="4">
        <f t="shared" si="9"/>
        <v>28</v>
      </c>
      <c r="I79">
        <f t="shared" si="7"/>
        <v>34</v>
      </c>
    </row>
    <row r="80" spans="2:9" x14ac:dyDescent="0.35">
      <c r="B80" s="1" t="s">
        <v>384</v>
      </c>
      <c r="C80" s="1"/>
      <c r="D80" t="str">
        <f t="shared" si="6"/>
        <v>h46270</v>
      </c>
      <c r="E80" s="1" t="str">
        <f t="shared" si="5"/>
        <v>CAMARENA TEQUILA SILVER</v>
      </c>
      <c r="F80" s="1" t="str">
        <f t="shared" si="8"/>
        <v>1.75L</v>
      </c>
      <c r="G80" s="3"/>
      <c r="H80" s="4">
        <f t="shared" si="9"/>
        <v>32</v>
      </c>
      <c r="I80">
        <f t="shared" si="7"/>
        <v>38</v>
      </c>
    </row>
    <row r="81" spans="2:9" x14ac:dyDescent="0.35">
      <c r="B81" s="1" t="s">
        <v>79</v>
      </c>
      <c r="C81" s="1"/>
      <c r="D81" t="str">
        <f t="shared" si="6"/>
        <v>i94711</v>
      </c>
      <c r="E81" s="1" t="str">
        <f t="shared" si="5"/>
        <v>NEGRA MODELO 4/6 NR</v>
      </c>
      <c r="F81" s="1" t="str">
        <f t="shared" si="8"/>
        <v>12OZ</v>
      </c>
      <c r="G81" s="3"/>
      <c r="H81" s="4">
        <f t="shared" si="9"/>
        <v>28</v>
      </c>
      <c r="I81">
        <f t="shared" si="7"/>
        <v>33</v>
      </c>
    </row>
    <row r="82" spans="2:9" x14ac:dyDescent="0.35">
      <c r="B82" s="1" t="s">
        <v>80</v>
      </c>
      <c r="C82" s="1"/>
      <c r="D82" t="str">
        <f t="shared" si="6"/>
        <v>j96559</v>
      </c>
      <c r="E82" s="1" t="str">
        <f t="shared" si="5"/>
        <v>FRANZIA CHARD BIB</v>
      </c>
      <c r="F82" s="1" t="str">
        <f t="shared" si="8"/>
        <v>5L</v>
      </c>
      <c r="G82" s="3"/>
      <c r="H82" s="4">
        <f t="shared" si="9"/>
        <v>26</v>
      </c>
      <c r="I82">
        <f t="shared" si="7"/>
        <v>29</v>
      </c>
    </row>
    <row r="83" spans="2:9" x14ac:dyDescent="0.35">
      <c r="B83" s="1" t="s">
        <v>385</v>
      </c>
      <c r="C83" s="1"/>
      <c r="D83" t="str">
        <f t="shared" si="6"/>
        <v>m41971</v>
      </c>
      <c r="E83" s="1" t="str">
        <f t="shared" si="5"/>
        <v>BACARDI RUM WHITE</v>
      </c>
      <c r="F83" s="1" t="str">
        <f t="shared" si="8"/>
        <v>1.75L</v>
      </c>
      <c r="G83" s="3"/>
      <c r="H83" s="4">
        <f t="shared" si="9"/>
        <v>26</v>
      </c>
      <c r="I83">
        <f t="shared" si="7"/>
        <v>32</v>
      </c>
    </row>
    <row r="84" spans="2:9" x14ac:dyDescent="0.35">
      <c r="B84" s="1" t="s">
        <v>81</v>
      </c>
      <c r="C84" s="1"/>
      <c r="D84" t="str">
        <f t="shared" si="6"/>
        <v>n33962</v>
      </c>
      <c r="E84" s="1" t="str">
        <f t="shared" si="5"/>
        <v>BECKS 2/12 NR</v>
      </c>
      <c r="F84" s="1" t="str">
        <f t="shared" si="8"/>
        <v>12OZ</v>
      </c>
      <c r="G84" s="3"/>
      <c r="H84" s="4">
        <f t="shared" si="9"/>
        <v>22</v>
      </c>
      <c r="I84">
        <f t="shared" si="7"/>
        <v>27</v>
      </c>
    </row>
    <row r="85" spans="2:9" x14ac:dyDescent="0.35">
      <c r="B85" s="1" t="s">
        <v>82</v>
      </c>
      <c r="C85" s="1"/>
      <c r="D85" t="str">
        <f t="shared" si="6"/>
        <v>o52105</v>
      </c>
      <c r="E85" s="1" t="str">
        <f t="shared" si="5"/>
        <v>HEINEKEN 2/12 NR</v>
      </c>
      <c r="F85" s="1" t="str">
        <f t="shared" si="8"/>
        <v>12OZ</v>
      </c>
      <c r="G85" s="3"/>
      <c r="H85" s="4">
        <f t="shared" si="9"/>
        <v>25</v>
      </c>
      <c r="I85">
        <f t="shared" si="7"/>
        <v>30</v>
      </c>
    </row>
    <row r="86" spans="2:9" x14ac:dyDescent="0.35">
      <c r="B86" s="1" t="s">
        <v>83</v>
      </c>
      <c r="C86" s="1"/>
      <c r="D86" t="str">
        <f t="shared" si="6"/>
        <v>p31156</v>
      </c>
      <c r="E86" s="1" t="str">
        <f t="shared" si="5"/>
        <v>JACKSON EST ANDERSON VLY P/NOIR</v>
      </c>
      <c r="F86" s="1" t="str">
        <f t="shared" si="8"/>
        <v>750ML</v>
      </c>
      <c r="G86" s="3"/>
      <c r="H86" s="4">
        <f t="shared" si="9"/>
        <v>40</v>
      </c>
      <c r="I86">
        <f t="shared" si="7"/>
        <v>46</v>
      </c>
    </row>
    <row r="87" spans="2:9" x14ac:dyDescent="0.35">
      <c r="B87" s="1" t="s">
        <v>84</v>
      </c>
      <c r="C87" s="1"/>
      <c r="D87" t="str">
        <f t="shared" si="6"/>
        <v>q51703</v>
      </c>
      <c r="E87" s="1" t="str">
        <f t="shared" si="5"/>
        <v>FLYING DOG VARIETY PACK 2/12 NR</v>
      </c>
      <c r="F87" s="1" t="str">
        <f t="shared" si="8"/>
        <v>12OZ</v>
      </c>
      <c r="G87" s="3"/>
      <c r="H87" s="4">
        <f t="shared" si="9"/>
        <v>40</v>
      </c>
      <c r="I87">
        <f t="shared" si="7"/>
        <v>45</v>
      </c>
    </row>
    <row r="88" spans="2:9" x14ac:dyDescent="0.35">
      <c r="B88" s="1" t="s">
        <v>85</v>
      </c>
      <c r="C88" s="1"/>
      <c r="D88" t="str">
        <f t="shared" si="6"/>
        <v>r64691</v>
      </c>
      <c r="E88" s="1" t="str">
        <f t="shared" si="5"/>
        <v>ENGLSZELL GREGORIS NR 20/CS</v>
      </c>
      <c r="F88" s="1" t="str">
        <f t="shared" si="8"/>
        <v>11OZ</v>
      </c>
      <c r="G88" s="3"/>
      <c r="H88" s="4">
        <f t="shared" si="9"/>
        <v>36</v>
      </c>
      <c r="I88">
        <f t="shared" si="7"/>
        <v>41</v>
      </c>
    </row>
    <row r="89" spans="2:9" x14ac:dyDescent="0.35">
      <c r="B89" s="1" t="s">
        <v>86</v>
      </c>
      <c r="C89" s="1"/>
      <c r="D89" t="str">
        <f t="shared" si="6"/>
        <v>s51943</v>
      </c>
      <c r="E89" s="1" t="str">
        <f t="shared" si="5"/>
        <v>LINDEMANS BIN 45 CAB</v>
      </c>
      <c r="F89" s="1" t="str">
        <f t="shared" si="8"/>
        <v>1.5L</v>
      </c>
      <c r="G89" s="3"/>
      <c r="H89" s="4">
        <f t="shared" si="9"/>
        <v>29</v>
      </c>
      <c r="I89">
        <f t="shared" si="7"/>
        <v>34</v>
      </c>
    </row>
    <row r="90" spans="2:9" x14ac:dyDescent="0.35">
      <c r="B90" s="1" t="s">
        <v>87</v>
      </c>
      <c r="C90" s="1"/>
      <c r="D90" t="str">
        <f t="shared" si="6"/>
        <v>t14908</v>
      </c>
      <c r="E90" s="1" t="str">
        <f t="shared" si="5"/>
        <v>STONE MIXED 1712 2/12NR</v>
      </c>
      <c r="F90" s="1" t="str">
        <f t="shared" si="8"/>
        <v>12OZ</v>
      </c>
      <c r="G90" s="3"/>
      <c r="H90" s="4">
        <f t="shared" si="9"/>
        <v>32</v>
      </c>
      <c r="I90">
        <f t="shared" si="7"/>
        <v>37</v>
      </c>
    </row>
    <row r="91" spans="2:9" x14ac:dyDescent="0.35">
      <c r="B91" s="1" t="s">
        <v>282</v>
      </c>
      <c r="C91" s="1"/>
      <c r="D91" t="str">
        <f t="shared" si="6"/>
        <v>u42989</v>
      </c>
      <c r="E91" s="1" t="str">
        <f t="shared" si="5"/>
        <v xml:space="preserve">BUD 30PK </v>
      </c>
      <c r="F91" s="1" t="str">
        <f t="shared" si="8"/>
        <v>12OZ</v>
      </c>
      <c r="G91" s="3"/>
      <c r="H91" s="4">
        <f t="shared" si="9"/>
        <v>18</v>
      </c>
      <c r="I91">
        <f t="shared" si="7"/>
        <v>23</v>
      </c>
    </row>
    <row r="92" spans="2:9" x14ac:dyDescent="0.35">
      <c r="B92" s="1" t="s">
        <v>88</v>
      </c>
      <c r="C92" s="1"/>
      <c r="D92" t="str">
        <f t="shared" si="6"/>
        <v>v96982</v>
      </c>
      <c r="E92" s="1" t="str">
        <f t="shared" si="5"/>
        <v>MARGARITAVILLE CLAS LM MARG</v>
      </c>
      <c r="F92" s="1" t="str">
        <f t="shared" si="8"/>
        <v>1.75L</v>
      </c>
      <c r="G92" s="3"/>
      <c r="H92" s="4">
        <f t="shared" si="9"/>
        <v>36</v>
      </c>
      <c r="I92">
        <f t="shared" si="7"/>
        <v>42</v>
      </c>
    </row>
    <row r="93" spans="2:9" x14ac:dyDescent="0.35">
      <c r="B93" s="1" t="s">
        <v>89</v>
      </c>
      <c r="C93" s="1"/>
      <c r="D93" t="str">
        <f t="shared" si="6"/>
        <v>w84500</v>
      </c>
      <c r="E93" s="1" t="str">
        <f t="shared" si="5"/>
        <v>BUD LIGHT PLATINUM 2/12 NR</v>
      </c>
      <c r="F93" s="1" t="str">
        <f t="shared" si="8"/>
        <v>12OZ</v>
      </c>
      <c r="G93" s="3"/>
      <c r="H93" s="4">
        <f t="shared" si="9"/>
        <v>35</v>
      </c>
      <c r="I93">
        <f t="shared" si="7"/>
        <v>40</v>
      </c>
    </row>
    <row r="94" spans="2:9" x14ac:dyDescent="0.35">
      <c r="B94" s="1" t="s">
        <v>90</v>
      </c>
      <c r="C94" s="1"/>
      <c r="D94" t="str">
        <f t="shared" si="6"/>
        <v>x65472</v>
      </c>
      <c r="E94" s="1" t="str">
        <f t="shared" si="5"/>
        <v>LAB PORTUGUESE RSE</v>
      </c>
      <c r="F94" s="1" t="str">
        <f t="shared" si="8"/>
        <v>750ML</v>
      </c>
      <c r="G94" s="3"/>
      <c r="H94" s="4">
        <f t="shared" si="9"/>
        <v>27</v>
      </c>
      <c r="I94">
        <f t="shared" si="7"/>
        <v>33</v>
      </c>
    </row>
    <row r="95" spans="2:9" x14ac:dyDescent="0.35">
      <c r="B95" s="1" t="s">
        <v>91</v>
      </c>
      <c r="C95" s="1"/>
      <c r="D95" t="str">
        <f t="shared" si="6"/>
        <v>y84074</v>
      </c>
      <c r="E95" s="1" t="str">
        <f t="shared" si="5"/>
        <v>CORONA EXTRA 18PK NR</v>
      </c>
      <c r="F95" s="1" t="str">
        <f t="shared" si="8"/>
        <v>12OZ</v>
      </c>
      <c r="G95" s="3"/>
      <c r="H95" s="4">
        <f t="shared" si="9"/>
        <v>29</v>
      </c>
      <c r="I95">
        <f t="shared" si="7"/>
        <v>34</v>
      </c>
    </row>
    <row r="96" spans="2:9" x14ac:dyDescent="0.35">
      <c r="B96" s="1" t="s">
        <v>283</v>
      </c>
      <c r="C96" s="1"/>
      <c r="D96" t="str">
        <f t="shared" si="6"/>
        <v>z31007</v>
      </c>
      <c r="E96" s="1" t="str">
        <f t="shared" si="5"/>
        <v xml:space="preserve">COORS LT 18PK </v>
      </c>
      <c r="F96" s="1" t="str">
        <f t="shared" si="8"/>
        <v>12OZ</v>
      </c>
      <c r="G96" s="3"/>
      <c r="H96" s="4">
        <f t="shared" si="9"/>
        <v>23</v>
      </c>
      <c r="I96">
        <f t="shared" si="7"/>
        <v>28</v>
      </c>
    </row>
    <row r="97" spans="2:9" x14ac:dyDescent="0.35">
      <c r="B97" s="1" t="s">
        <v>284</v>
      </c>
      <c r="C97" s="1"/>
      <c r="D97" t="str">
        <f t="shared" si="6"/>
        <v>b70724</v>
      </c>
      <c r="E97" s="1" t="str">
        <f t="shared" si="5"/>
        <v xml:space="preserve">HEINEKEN 12/24.0Z </v>
      </c>
      <c r="F97" s="1" t="str">
        <f t="shared" si="8"/>
        <v>24OZ</v>
      </c>
      <c r="G97" s="3"/>
      <c r="H97" s="4">
        <f t="shared" si="9"/>
        <v>27</v>
      </c>
      <c r="I97">
        <f t="shared" si="7"/>
        <v>32</v>
      </c>
    </row>
    <row r="98" spans="2:9" x14ac:dyDescent="0.35">
      <c r="B98" s="1" t="s">
        <v>92</v>
      </c>
      <c r="C98" s="1"/>
      <c r="D98" t="str">
        <f t="shared" si="6"/>
        <v>d79340</v>
      </c>
      <c r="E98" s="1" t="str">
        <f t="shared" si="5"/>
        <v>PLATINUM VODKA</v>
      </c>
      <c r="F98" s="1" t="str">
        <f t="shared" si="8"/>
        <v>1.75L</v>
      </c>
      <c r="G98" s="3"/>
      <c r="H98" s="4">
        <f t="shared" si="9"/>
        <v>23</v>
      </c>
      <c r="I98">
        <f t="shared" si="7"/>
        <v>29</v>
      </c>
    </row>
    <row r="99" spans="2:9" x14ac:dyDescent="0.35">
      <c r="B99" s="1" t="s">
        <v>285</v>
      </c>
      <c r="C99" s="1"/>
      <c r="D99" t="str">
        <f t="shared" si="6"/>
        <v>e95702</v>
      </c>
      <c r="E99" s="1" t="str">
        <f t="shared" si="5"/>
        <v xml:space="preserve">BUSCH 30PK </v>
      </c>
      <c r="F99" s="1" t="str">
        <f t="shared" si="8"/>
        <v>12OZ</v>
      </c>
      <c r="G99" s="3"/>
      <c r="H99" s="4">
        <f t="shared" si="9"/>
        <v>20</v>
      </c>
      <c r="I99">
        <f t="shared" si="7"/>
        <v>25</v>
      </c>
    </row>
    <row r="100" spans="2:9" x14ac:dyDescent="0.35">
      <c r="B100" s="1" t="s">
        <v>386</v>
      </c>
      <c r="C100" s="1"/>
      <c r="D100" t="str">
        <f t="shared" si="6"/>
        <v>g88308</v>
      </c>
      <c r="E100" s="1" t="str">
        <f t="shared" si="5"/>
        <v>MODELO ESPECIAL</v>
      </c>
      <c r="F100" s="1" t="str">
        <f t="shared" si="8"/>
        <v>16OZ</v>
      </c>
      <c r="G100" s="3"/>
      <c r="H100" s="4">
        <f t="shared" si="9"/>
        <v>24</v>
      </c>
      <c r="I100">
        <f t="shared" si="7"/>
        <v>31</v>
      </c>
    </row>
    <row r="101" spans="2:9" x14ac:dyDescent="0.35">
      <c r="B101" s="1" t="s">
        <v>93</v>
      </c>
      <c r="C101" s="1"/>
      <c r="D101" t="str">
        <f t="shared" si="6"/>
        <v>h89759</v>
      </c>
      <c r="E101" s="1" t="str">
        <f t="shared" si="5"/>
        <v>MEZZACORONA P/GRIG</v>
      </c>
      <c r="F101" s="1" t="str">
        <f t="shared" si="8"/>
        <v>1.5L</v>
      </c>
      <c r="G101" s="3"/>
      <c r="H101" s="4">
        <f t="shared" si="9"/>
        <v>27</v>
      </c>
      <c r="I101">
        <f t="shared" si="7"/>
        <v>32</v>
      </c>
    </row>
    <row r="102" spans="2:9" x14ac:dyDescent="0.35">
      <c r="B102" s="1" t="s">
        <v>387</v>
      </c>
      <c r="C102" s="1"/>
      <c r="D102" t="str">
        <f t="shared" si="6"/>
        <v>j73169</v>
      </c>
      <c r="E102" s="1" t="str">
        <f t="shared" si="5"/>
        <v>SMIRNOFF PINEAPPLE 4/6 NR</v>
      </c>
      <c r="F102" s="1" t="str">
        <f t="shared" si="8"/>
        <v>2OZ</v>
      </c>
      <c r="G102" s="3"/>
      <c r="H102" s="4">
        <f t="shared" si="9"/>
        <v>34</v>
      </c>
      <c r="I102">
        <f t="shared" si="7"/>
        <v>38</v>
      </c>
    </row>
    <row r="103" spans="2:9" x14ac:dyDescent="0.35">
      <c r="B103" s="1" t="s">
        <v>286</v>
      </c>
      <c r="C103" s="1"/>
      <c r="D103" t="str">
        <f t="shared" si="6"/>
        <v>k67470</v>
      </c>
      <c r="E103" s="1" t="str">
        <f t="shared" si="5"/>
        <v xml:space="preserve">COORS LT 12/24OZ </v>
      </c>
      <c r="F103" s="1" t="str">
        <f t="shared" si="8"/>
        <v>24OZ</v>
      </c>
      <c r="G103" s="3"/>
      <c r="H103" s="4">
        <f t="shared" si="9"/>
        <v>26</v>
      </c>
      <c r="I103">
        <f t="shared" si="7"/>
        <v>31</v>
      </c>
    </row>
    <row r="104" spans="2:9" x14ac:dyDescent="0.35">
      <c r="B104" s="1" t="s">
        <v>94</v>
      </c>
      <c r="C104" s="1"/>
      <c r="D104" t="str">
        <f t="shared" si="6"/>
        <v>l15159</v>
      </c>
      <c r="E104" s="1" t="str">
        <f t="shared" si="5"/>
        <v>CORONA EXTRA 2/12 NR</v>
      </c>
      <c r="F104" s="1" t="str">
        <f t="shared" si="8"/>
        <v>12OZ</v>
      </c>
      <c r="G104" s="3"/>
      <c r="H104" s="4">
        <f t="shared" si="9"/>
        <v>29</v>
      </c>
      <c r="I104">
        <f t="shared" si="7"/>
        <v>34</v>
      </c>
    </row>
    <row r="105" spans="2:9" x14ac:dyDescent="0.35">
      <c r="B105" s="1" t="s">
        <v>95</v>
      </c>
      <c r="C105" s="1"/>
      <c r="D105" t="str">
        <f t="shared" si="6"/>
        <v>m73879</v>
      </c>
      <c r="E105" s="1" t="str">
        <f t="shared" si="5"/>
        <v>TITO'S HANDMADE VODKA</v>
      </c>
      <c r="F105" s="1" t="str">
        <f t="shared" si="8"/>
        <v>1.75L</v>
      </c>
      <c r="G105" s="3"/>
      <c r="H105" s="4">
        <f t="shared" si="9"/>
        <v>30</v>
      </c>
      <c r="I105">
        <f t="shared" si="7"/>
        <v>36</v>
      </c>
    </row>
    <row r="106" spans="2:9" x14ac:dyDescent="0.35">
      <c r="B106" s="1" t="s">
        <v>96</v>
      </c>
      <c r="C106" s="1"/>
      <c r="D106" t="str">
        <f t="shared" si="6"/>
        <v>n46444</v>
      </c>
      <c r="E106" s="1" t="str">
        <f t="shared" si="5"/>
        <v>SUPERBOCK BEER 4/6NR</v>
      </c>
      <c r="F106" s="1" t="str">
        <f t="shared" si="8"/>
        <v>11.2OZ</v>
      </c>
      <c r="G106" s="3"/>
      <c r="H106" s="4">
        <f t="shared" si="9"/>
        <v>29</v>
      </c>
      <c r="I106">
        <f t="shared" si="7"/>
        <v>36</v>
      </c>
    </row>
    <row r="107" spans="2:9" x14ac:dyDescent="0.35">
      <c r="B107" s="1" t="s">
        <v>287</v>
      </c>
      <c r="C107" s="1"/>
      <c r="D107" t="str">
        <f t="shared" si="6"/>
        <v>o38507</v>
      </c>
      <c r="E107" s="1" t="str">
        <f t="shared" si="5"/>
        <v>CORONA LIGHT 2/12 S</v>
      </c>
      <c r="F107" s="1" t="str">
        <f t="shared" si="8"/>
        <v>12OZ</v>
      </c>
      <c r="G107" s="3"/>
      <c r="H107" s="4">
        <f t="shared" si="9"/>
        <v>28</v>
      </c>
      <c r="I107">
        <f t="shared" si="7"/>
        <v>33</v>
      </c>
    </row>
    <row r="108" spans="2:9" x14ac:dyDescent="0.35">
      <c r="B108" s="1" t="s">
        <v>97</v>
      </c>
      <c r="C108" s="1"/>
      <c r="D108" t="str">
        <f t="shared" si="6"/>
        <v>p47806</v>
      </c>
      <c r="E108" s="1" t="str">
        <f t="shared" si="5"/>
        <v>SIERRA NEVADA OKTOBERFEST 4/6NR</v>
      </c>
      <c r="F108" s="1" t="str">
        <f t="shared" si="8"/>
        <v>12OZ</v>
      </c>
      <c r="G108" s="3"/>
      <c r="H108" s="4">
        <f t="shared" si="9"/>
        <v>40</v>
      </c>
      <c r="I108">
        <f t="shared" si="7"/>
        <v>45</v>
      </c>
    </row>
    <row r="109" spans="2:9" x14ac:dyDescent="0.35">
      <c r="B109" s="1" t="s">
        <v>98</v>
      </c>
      <c r="C109" s="1"/>
      <c r="D109" t="str">
        <f t="shared" si="6"/>
        <v>q81382</v>
      </c>
      <c r="E109" s="1" t="str">
        <f t="shared" si="5"/>
        <v>ROLLING ROCK 4/6 LN</v>
      </c>
      <c r="F109" s="1" t="str">
        <f t="shared" si="8"/>
        <v>12OZ</v>
      </c>
      <c r="G109" s="3"/>
      <c r="H109" s="4">
        <f t="shared" si="9"/>
        <v>28</v>
      </c>
      <c r="I109">
        <f t="shared" si="7"/>
        <v>33</v>
      </c>
    </row>
    <row r="110" spans="2:9" x14ac:dyDescent="0.35">
      <c r="B110" s="1" t="s">
        <v>99</v>
      </c>
      <c r="C110" s="1"/>
      <c r="D110" t="str">
        <f t="shared" si="6"/>
        <v>r71436</v>
      </c>
      <c r="E110" s="1" t="str">
        <f t="shared" si="5"/>
        <v>MIONETTO PRESTIGE COLL 1887 PROSECCO BRUT</v>
      </c>
      <c r="F110" s="1" t="str">
        <f t="shared" si="8"/>
        <v>750ML</v>
      </c>
      <c r="G110" s="3"/>
      <c r="H110" s="4">
        <f t="shared" si="9"/>
        <v>50</v>
      </c>
      <c r="I110">
        <f t="shared" si="7"/>
        <v>56</v>
      </c>
    </row>
    <row r="111" spans="2:9" x14ac:dyDescent="0.35">
      <c r="B111" s="1" t="s">
        <v>337</v>
      </c>
      <c r="C111" s="1"/>
      <c r="D111" t="str">
        <f t="shared" si="6"/>
        <v>s13086</v>
      </c>
      <c r="E111" s="1" t="str">
        <f t="shared" si="5"/>
        <v>NATTY DADDY 2/15PK</v>
      </c>
      <c r="F111" s="1" t="str">
        <f t="shared" si="8"/>
        <v>12OZ</v>
      </c>
      <c r="G111" s="3"/>
      <c r="H111" s="4">
        <f t="shared" si="9"/>
        <v>27</v>
      </c>
      <c r="I111">
        <f t="shared" si="7"/>
        <v>33</v>
      </c>
    </row>
    <row r="112" spans="2:9" x14ac:dyDescent="0.35">
      <c r="B112" s="1" t="s">
        <v>100</v>
      </c>
      <c r="C112" s="1"/>
      <c r="D112" t="str">
        <f t="shared" si="6"/>
        <v>t31889</v>
      </c>
      <c r="E112" s="1" t="str">
        <f t="shared" si="5"/>
        <v>CORONA EXTRA 18PK NR</v>
      </c>
      <c r="F112" s="1" t="str">
        <f t="shared" si="8"/>
        <v>12OZ</v>
      </c>
      <c r="G112" s="3"/>
      <c r="H112" s="4">
        <f t="shared" si="9"/>
        <v>29</v>
      </c>
      <c r="I112">
        <f t="shared" si="7"/>
        <v>34</v>
      </c>
    </row>
    <row r="113" spans="2:9" x14ac:dyDescent="0.35">
      <c r="B113" s="1" t="s">
        <v>101</v>
      </c>
      <c r="C113" s="1"/>
      <c r="D113" t="str">
        <f t="shared" si="6"/>
        <v>u75537</v>
      </c>
      <c r="E113" s="1" t="str">
        <f t="shared" si="5"/>
        <v>JACK DANIELS WATERMELON PUNCH 4/6NR</v>
      </c>
      <c r="F113" s="1" t="str">
        <f t="shared" si="8"/>
        <v>10OZ</v>
      </c>
      <c r="G113" s="3"/>
      <c r="H113" s="4">
        <f t="shared" si="9"/>
        <v>44</v>
      </c>
      <c r="I113">
        <f t="shared" si="7"/>
        <v>49</v>
      </c>
    </row>
    <row r="114" spans="2:9" x14ac:dyDescent="0.35">
      <c r="B114" s="1" t="s">
        <v>102</v>
      </c>
      <c r="C114" s="1"/>
      <c r="D114" t="str">
        <f t="shared" si="6"/>
        <v>v87529</v>
      </c>
      <c r="E114" s="1" t="str">
        <f t="shared" si="5"/>
        <v>MODELO ESPECIAL 2/12 NR</v>
      </c>
      <c r="F114" s="1" t="str">
        <f t="shared" si="8"/>
        <v>12OZ</v>
      </c>
      <c r="G114" s="3"/>
      <c r="H114" s="4">
        <f t="shared" si="9"/>
        <v>32</v>
      </c>
      <c r="I114">
        <f t="shared" si="7"/>
        <v>37</v>
      </c>
    </row>
    <row r="115" spans="2:9" x14ac:dyDescent="0.35">
      <c r="B115" s="1" t="s">
        <v>338</v>
      </c>
      <c r="C115" s="1"/>
      <c r="D115" t="str">
        <f t="shared" si="6"/>
        <v>w94907</v>
      </c>
      <c r="E115" s="1" t="str">
        <f t="shared" si="5"/>
        <v>BELLS TWO HEARTED ALE 4/6 NR</v>
      </c>
      <c r="F115" s="1" t="str">
        <f t="shared" si="8"/>
        <v>12OZ</v>
      </c>
      <c r="G115" s="3"/>
      <c r="H115" s="4">
        <f t="shared" si="9"/>
        <v>37</v>
      </c>
      <c r="I115">
        <f t="shared" si="7"/>
        <v>42</v>
      </c>
    </row>
    <row r="116" spans="2:9" x14ac:dyDescent="0.35">
      <c r="B116" s="1" t="s">
        <v>103</v>
      </c>
      <c r="C116" s="1"/>
      <c r="D116" t="str">
        <f t="shared" si="6"/>
        <v>x99000</v>
      </c>
      <c r="E116" s="1" t="str">
        <f t="shared" si="5"/>
        <v>NOBILO MARLBOROUGH S/BLC</v>
      </c>
      <c r="F116" s="1" t="str">
        <f t="shared" si="8"/>
        <v>750ML</v>
      </c>
      <c r="G116" s="3"/>
      <c r="H116" s="4">
        <f t="shared" si="9"/>
        <v>33</v>
      </c>
      <c r="I116">
        <f t="shared" si="7"/>
        <v>39</v>
      </c>
    </row>
    <row r="117" spans="2:9" x14ac:dyDescent="0.35">
      <c r="B117" s="1" t="s">
        <v>104</v>
      </c>
      <c r="C117" s="1"/>
      <c r="D117" t="str">
        <f t="shared" si="6"/>
        <v>y59275</v>
      </c>
      <c r="E117" s="1" t="str">
        <f t="shared" si="5"/>
        <v>POGGIO DI BORTOLONE FRAPPATO</v>
      </c>
      <c r="F117" s="1" t="str">
        <f t="shared" si="8"/>
        <v>750ML</v>
      </c>
      <c r="G117" s="3"/>
      <c r="H117" s="4">
        <f t="shared" si="9"/>
        <v>37</v>
      </c>
      <c r="I117">
        <f t="shared" si="7"/>
        <v>43</v>
      </c>
    </row>
    <row r="118" spans="2:9" x14ac:dyDescent="0.35">
      <c r="B118" s="1" t="s">
        <v>105</v>
      </c>
      <c r="C118" s="1"/>
      <c r="D118" t="str">
        <f t="shared" si="6"/>
        <v>z87402</v>
      </c>
      <c r="E118" s="1" t="str">
        <f t="shared" si="5"/>
        <v>PERONI 4/6 NR</v>
      </c>
      <c r="F118" s="1" t="str">
        <f t="shared" si="8"/>
        <v>12OZ</v>
      </c>
      <c r="G118" s="3"/>
      <c r="H118" s="4">
        <f t="shared" si="9"/>
        <v>22</v>
      </c>
      <c r="I118">
        <f t="shared" si="7"/>
        <v>27</v>
      </c>
    </row>
    <row r="119" spans="2:9" x14ac:dyDescent="0.35">
      <c r="B119" s="1" t="s">
        <v>106</v>
      </c>
      <c r="C119" s="1"/>
      <c r="D119" t="str">
        <f t="shared" si="6"/>
        <v>a52660</v>
      </c>
      <c r="E119" s="1" t="str">
        <f t="shared" si="5"/>
        <v>HENNESSY COGNAC VSOP</v>
      </c>
      <c r="F119" s="1" t="str">
        <f t="shared" si="8"/>
        <v>200ML</v>
      </c>
      <c r="G119" s="3"/>
      <c r="H119" s="4">
        <f t="shared" si="9"/>
        <v>29</v>
      </c>
      <c r="I119">
        <f t="shared" si="7"/>
        <v>35</v>
      </c>
    </row>
    <row r="120" spans="2:9" x14ac:dyDescent="0.35">
      <c r="B120" s="1" t="s">
        <v>388</v>
      </c>
      <c r="C120" s="1"/>
      <c r="D120" t="str">
        <f t="shared" si="6"/>
        <v>b94647</v>
      </c>
      <c r="E120" s="1" t="str">
        <f t="shared" si="5"/>
        <v>AUSTIN PINEAPPLE CIDER</v>
      </c>
      <c r="F120" s="1" t="str">
        <f t="shared" si="8"/>
        <v>12.OZ</v>
      </c>
      <c r="G120" s="3"/>
      <c r="H120" s="4">
        <f t="shared" si="9"/>
        <v>31</v>
      </c>
      <c r="I120">
        <f t="shared" si="7"/>
        <v>38</v>
      </c>
    </row>
    <row r="121" spans="2:9" x14ac:dyDescent="0.35">
      <c r="B121" s="1" t="s">
        <v>107</v>
      </c>
      <c r="C121" s="1"/>
      <c r="D121" t="str">
        <f t="shared" si="6"/>
        <v>c55527</v>
      </c>
      <c r="E121" s="1" t="str">
        <f t="shared" si="5"/>
        <v>LE NOBLE BORDEAUX BLANC</v>
      </c>
      <c r="F121" s="1" t="str">
        <f t="shared" si="8"/>
        <v>750ML</v>
      </c>
      <c r="G121" s="3"/>
      <c r="H121" s="4">
        <f t="shared" si="9"/>
        <v>32</v>
      </c>
      <c r="I121">
        <f t="shared" si="7"/>
        <v>38</v>
      </c>
    </row>
    <row r="122" spans="2:9" x14ac:dyDescent="0.35">
      <c r="B122" s="1" t="s">
        <v>339</v>
      </c>
      <c r="C122" s="1"/>
      <c r="D122" t="str">
        <f t="shared" si="6"/>
        <v>d33115</v>
      </c>
      <c r="E122" s="1" t="str">
        <f t="shared" si="5"/>
        <v>HEINEKEN  SUITCASE S 24/</v>
      </c>
      <c r="F122" s="1" t="str">
        <f t="shared" si="8"/>
        <v>12OZ</v>
      </c>
      <c r="G122" s="3"/>
      <c r="H122" s="4">
        <f t="shared" si="9"/>
        <v>33</v>
      </c>
      <c r="I122">
        <f t="shared" si="7"/>
        <v>38</v>
      </c>
    </row>
    <row r="123" spans="2:9" x14ac:dyDescent="0.35">
      <c r="B123" s="1" t="s">
        <v>288</v>
      </c>
      <c r="C123" s="1"/>
      <c r="D123" t="str">
        <f t="shared" si="6"/>
        <v>e45554</v>
      </c>
      <c r="E123" s="1" t="str">
        <f t="shared" si="5"/>
        <v xml:space="preserve">HEINEKEN 2/12 </v>
      </c>
      <c r="F123" s="1" t="str">
        <f t="shared" si="8"/>
        <v>12OZ</v>
      </c>
      <c r="G123" s="3"/>
      <c r="H123" s="4">
        <f t="shared" si="9"/>
        <v>23</v>
      </c>
      <c r="I123">
        <f t="shared" si="7"/>
        <v>28</v>
      </c>
    </row>
    <row r="124" spans="2:9" x14ac:dyDescent="0.35">
      <c r="B124" s="1" t="s">
        <v>108</v>
      </c>
      <c r="C124" s="1"/>
      <c r="D124" t="str">
        <f t="shared" si="6"/>
        <v>f83218</v>
      </c>
      <c r="E124" s="1" t="str">
        <f t="shared" si="5"/>
        <v>STOLICHNAYA VODKA</v>
      </c>
      <c r="F124" s="1" t="str">
        <f t="shared" si="8"/>
        <v>1.75L</v>
      </c>
      <c r="G124" s="3"/>
      <c r="H124" s="4">
        <f t="shared" si="9"/>
        <v>26</v>
      </c>
      <c r="I124">
        <f t="shared" si="7"/>
        <v>32</v>
      </c>
    </row>
    <row r="125" spans="2:9" x14ac:dyDescent="0.35">
      <c r="B125" s="1" t="s">
        <v>109</v>
      </c>
      <c r="C125" s="1"/>
      <c r="D125" t="str">
        <f t="shared" si="6"/>
        <v>g17766</v>
      </c>
      <c r="E125" s="1" t="str">
        <f t="shared" si="5"/>
        <v>AGALIMA MARGARITA MIX</v>
      </c>
      <c r="F125" s="1" t="str">
        <f t="shared" si="8"/>
        <v>1L</v>
      </c>
      <c r="G125" s="3"/>
      <c r="H125" s="4">
        <f t="shared" si="9"/>
        <v>30</v>
      </c>
      <c r="I125">
        <f t="shared" si="7"/>
        <v>33</v>
      </c>
    </row>
    <row r="126" spans="2:9" x14ac:dyDescent="0.35">
      <c r="B126" s="1" t="s">
        <v>110</v>
      </c>
      <c r="C126" s="1"/>
      <c r="D126" t="str">
        <f t="shared" si="6"/>
        <v>h76154</v>
      </c>
      <c r="E126" s="1" t="str">
        <f t="shared" si="5"/>
        <v>BUD LIGHT PLATINUM 2/12 NR</v>
      </c>
      <c r="F126" s="1" t="str">
        <f t="shared" si="8"/>
        <v>12OZ</v>
      </c>
      <c r="G126" s="3"/>
      <c r="H126" s="4">
        <f t="shared" si="9"/>
        <v>35</v>
      </c>
      <c r="I126">
        <f t="shared" si="7"/>
        <v>40</v>
      </c>
    </row>
    <row r="127" spans="2:9" x14ac:dyDescent="0.35">
      <c r="B127" s="1" t="s">
        <v>111</v>
      </c>
      <c r="C127" s="1"/>
      <c r="D127" t="str">
        <f t="shared" si="6"/>
        <v>i91196</v>
      </c>
      <c r="E127" s="1" t="str">
        <f t="shared" si="5"/>
        <v>R MONDAVI PR SEL MER</v>
      </c>
      <c r="F127" s="1" t="str">
        <f t="shared" si="8"/>
        <v>750ML</v>
      </c>
      <c r="G127" s="3"/>
      <c r="H127" s="4">
        <f t="shared" si="9"/>
        <v>29</v>
      </c>
      <c r="I127">
        <f t="shared" si="7"/>
        <v>35</v>
      </c>
    </row>
    <row r="128" spans="2:9" x14ac:dyDescent="0.35">
      <c r="B128" s="1" t="s">
        <v>289</v>
      </c>
      <c r="C128" s="1"/>
      <c r="D128" t="str">
        <f t="shared" si="6"/>
        <v>j79091</v>
      </c>
      <c r="E128" s="1" t="str">
        <f t="shared" si="5"/>
        <v xml:space="preserve">COORS LT 2/12 </v>
      </c>
      <c r="F128" s="1" t="str">
        <f t="shared" si="8"/>
        <v>12OZ</v>
      </c>
      <c r="G128" s="3"/>
      <c r="H128" s="4">
        <f t="shared" si="9"/>
        <v>23</v>
      </c>
      <c r="I128">
        <f t="shared" si="7"/>
        <v>28</v>
      </c>
    </row>
    <row r="129" spans="2:9" x14ac:dyDescent="0.35">
      <c r="B129" s="1" t="s">
        <v>389</v>
      </c>
      <c r="C129" s="1"/>
      <c r="D129" t="str">
        <f t="shared" si="6"/>
        <v>k92732</v>
      </c>
      <c r="E129" s="1" t="str">
        <f t="shared" si="5"/>
        <v>TECATE LIGHT</v>
      </c>
      <c r="F129" s="1" t="str">
        <f t="shared" si="8"/>
        <v>12.OZ</v>
      </c>
      <c r="G129" s="3"/>
      <c r="H129" s="4">
        <f t="shared" si="9"/>
        <v>21</v>
      </c>
      <c r="I129">
        <f t="shared" si="7"/>
        <v>29</v>
      </c>
    </row>
    <row r="130" spans="2:9" x14ac:dyDescent="0.35">
      <c r="B130" s="1" t="s">
        <v>340</v>
      </c>
      <c r="C130" s="1"/>
      <c r="D130" t="str">
        <f t="shared" si="6"/>
        <v>l67851</v>
      </c>
      <c r="E130" s="1" t="str">
        <f t="shared" si="5"/>
        <v>DOGFISH HEAD IPA FOR THE HOLIDAYS 12PK NR</v>
      </c>
      <c r="F130" s="1" t="str">
        <f t="shared" si="8"/>
        <v>24OZ</v>
      </c>
      <c r="G130" s="3"/>
      <c r="H130" s="4">
        <f t="shared" si="9"/>
        <v>50</v>
      </c>
      <c r="I130">
        <f t="shared" si="7"/>
        <v>55</v>
      </c>
    </row>
    <row r="131" spans="2:9" x14ac:dyDescent="0.35">
      <c r="B131" s="1" t="s">
        <v>290</v>
      </c>
      <c r="C131" s="1"/>
      <c r="D131" t="str">
        <f t="shared" si="6"/>
        <v>m60084</v>
      </c>
      <c r="E131" s="1" t="str">
        <f t="shared" si="5"/>
        <v>COORS LIGHT 18PK S</v>
      </c>
      <c r="F131" s="1" t="str">
        <f t="shared" si="8"/>
        <v>16OZ</v>
      </c>
      <c r="G131" s="3"/>
      <c r="H131" s="4">
        <f t="shared" si="9"/>
        <v>27</v>
      </c>
      <c r="I131">
        <f t="shared" si="7"/>
        <v>32</v>
      </c>
    </row>
    <row r="132" spans="2:9" x14ac:dyDescent="0.35">
      <c r="B132" s="1" t="s">
        <v>112</v>
      </c>
      <c r="C132" s="1"/>
      <c r="D132" t="str">
        <f t="shared" si="6"/>
        <v>n45418</v>
      </c>
      <c r="E132" s="1" t="str">
        <f t="shared" si="5"/>
        <v>LIBERTY CREEK P/GRIG</v>
      </c>
      <c r="F132" s="1" t="str">
        <f t="shared" si="8"/>
        <v>500ML</v>
      </c>
      <c r="G132" s="3"/>
      <c r="H132" s="4">
        <f t="shared" si="9"/>
        <v>29</v>
      </c>
      <c r="I132">
        <f t="shared" si="7"/>
        <v>35</v>
      </c>
    </row>
    <row r="133" spans="2:9" x14ac:dyDescent="0.35">
      <c r="B133" s="1" t="s">
        <v>113</v>
      </c>
      <c r="C133" s="1"/>
      <c r="D133" t="str">
        <f t="shared" si="6"/>
        <v>o24593</v>
      </c>
      <c r="E133" s="1" t="str">
        <f t="shared" ref="E133:E196" si="10">MID(B133,8,H133-9)</f>
        <v>LARCENY KY STRAIGHT BOURBON WHISKE</v>
      </c>
      <c r="F133" s="1" t="str">
        <f t="shared" si="8"/>
        <v>1.75L</v>
      </c>
      <c r="G133" s="3"/>
      <c r="H133" s="4">
        <f t="shared" si="9"/>
        <v>43</v>
      </c>
      <c r="I133">
        <f t="shared" si="7"/>
        <v>49</v>
      </c>
    </row>
    <row r="134" spans="2:9" x14ac:dyDescent="0.35">
      <c r="B134" s="1" t="s">
        <v>114</v>
      </c>
      <c r="C134" s="1"/>
      <c r="D134" t="str">
        <f t="shared" ref="D134:D197" si="11">LEFT(B134,6)</f>
        <v>p76255</v>
      </c>
      <c r="E134" s="1" t="str">
        <f t="shared" si="10"/>
        <v>ICEHOUSE 2/12 LNNR</v>
      </c>
      <c r="F134" s="1" t="str">
        <f t="shared" si="8"/>
        <v>12OZ</v>
      </c>
      <c r="G134" s="3"/>
      <c r="H134" s="4">
        <f t="shared" si="9"/>
        <v>27</v>
      </c>
      <c r="I134">
        <f t="shared" ref="I134:I197" si="12">LEN(B134)</f>
        <v>32</v>
      </c>
    </row>
    <row r="135" spans="2:9" x14ac:dyDescent="0.35">
      <c r="B135" s="1" t="s">
        <v>341</v>
      </c>
      <c r="C135" s="1"/>
      <c r="D135" t="str">
        <f t="shared" si="11"/>
        <v>q75387</v>
      </c>
      <c r="E135" s="1" t="str">
        <f t="shared" si="10"/>
        <v>FREE WILL KRAGLE 6/4</v>
      </c>
      <c r="F135" s="1" t="str">
        <f t="shared" ref="F135:F198" si="13">TRIM(RIGHT(B135,I135-H135))</f>
        <v>16OZ</v>
      </c>
      <c r="G135" s="3"/>
      <c r="H135" s="4">
        <f t="shared" ref="H135:H198" si="14">FIND("-",B135)</f>
        <v>29</v>
      </c>
      <c r="I135">
        <f t="shared" si="12"/>
        <v>35</v>
      </c>
    </row>
    <row r="136" spans="2:9" x14ac:dyDescent="0.35">
      <c r="B136" s="1" t="s">
        <v>115</v>
      </c>
      <c r="C136" s="1"/>
      <c r="D136" t="str">
        <f t="shared" si="11"/>
        <v>r63417</v>
      </c>
      <c r="E136" s="1" t="str">
        <f t="shared" si="10"/>
        <v>CUPCAKE MARLBOROUGH S/BLC</v>
      </c>
      <c r="F136" s="1" t="str">
        <f t="shared" si="13"/>
        <v>750ML</v>
      </c>
      <c r="G136" s="3"/>
      <c r="H136" s="4">
        <f t="shared" si="14"/>
        <v>34</v>
      </c>
      <c r="I136">
        <f t="shared" si="12"/>
        <v>40</v>
      </c>
    </row>
    <row r="137" spans="2:9" x14ac:dyDescent="0.35">
      <c r="B137" s="1" t="s">
        <v>116</v>
      </c>
      <c r="C137" s="1"/>
      <c r="D137" t="str">
        <f t="shared" si="11"/>
        <v>s11175</v>
      </c>
      <c r="E137" s="1" t="str">
        <f t="shared" si="10"/>
        <v>CORONA EXTRA 2/12 NR</v>
      </c>
      <c r="F137" s="1" t="str">
        <f t="shared" si="13"/>
        <v>12OZ</v>
      </c>
      <c r="G137" s="3"/>
      <c r="H137" s="4">
        <f t="shared" si="14"/>
        <v>29</v>
      </c>
      <c r="I137">
        <f t="shared" si="12"/>
        <v>34</v>
      </c>
    </row>
    <row r="138" spans="2:9" x14ac:dyDescent="0.35">
      <c r="B138" s="1" t="s">
        <v>117</v>
      </c>
      <c r="C138" s="1"/>
      <c r="D138" t="str">
        <f t="shared" si="11"/>
        <v>t65872</v>
      </c>
      <c r="E138" s="1" t="str">
        <f t="shared" si="10"/>
        <v>PIERRE HENRI S/BLC</v>
      </c>
      <c r="F138" s="1" t="str">
        <f t="shared" si="13"/>
        <v>750ML</v>
      </c>
      <c r="G138" s="3"/>
      <c r="H138" s="4">
        <f t="shared" si="14"/>
        <v>27</v>
      </c>
      <c r="I138">
        <f t="shared" si="12"/>
        <v>33</v>
      </c>
    </row>
    <row r="139" spans="2:9" x14ac:dyDescent="0.35">
      <c r="B139" s="1" t="s">
        <v>342</v>
      </c>
      <c r="C139" s="1"/>
      <c r="D139" t="str">
        <f t="shared" si="11"/>
        <v>u70375</v>
      </c>
      <c r="E139" s="1" t="str">
        <f t="shared" si="10"/>
        <v>DOGFISH HEAD 90 MINUTE IMPERIAL IPA 4/6 NR</v>
      </c>
      <c r="F139" s="1" t="str">
        <f t="shared" si="13"/>
        <v>12OZ</v>
      </c>
      <c r="G139" s="3"/>
      <c r="H139" s="4">
        <f t="shared" si="14"/>
        <v>51</v>
      </c>
      <c r="I139">
        <f t="shared" si="12"/>
        <v>56</v>
      </c>
    </row>
    <row r="140" spans="2:9" x14ac:dyDescent="0.35">
      <c r="B140" s="1" t="s">
        <v>118</v>
      </c>
      <c r="C140" s="1"/>
      <c r="D140" t="str">
        <f t="shared" si="11"/>
        <v>v37532</v>
      </c>
      <c r="E140" s="1" t="str">
        <f t="shared" si="10"/>
        <v>FONSECA BIN 27 PORTO</v>
      </c>
      <c r="F140" s="1" t="str">
        <f t="shared" si="13"/>
        <v>750ML</v>
      </c>
      <c r="G140" s="3"/>
      <c r="H140" s="4">
        <f t="shared" si="14"/>
        <v>29</v>
      </c>
      <c r="I140">
        <f t="shared" si="12"/>
        <v>35</v>
      </c>
    </row>
    <row r="141" spans="2:9" x14ac:dyDescent="0.35">
      <c r="B141" s="1" t="s">
        <v>119</v>
      </c>
      <c r="C141" s="1"/>
      <c r="D141" t="str">
        <f t="shared" si="11"/>
        <v>w78042</v>
      </c>
      <c r="E141" s="1" t="str">
        <f t="shared" si="10"/>
        <v>MILLER LITE 2/12 LNNR</v>
      </c>
      <c r="F141" s="1" t="str">
        <f t="shared" si="13"/>
        <v>12OZ</v>
      </c>
      <c r="G141" s="3"/>
      <c r="H141" s="4">
        <f t="shared" si="14"/>
        <v>30</v>
      </c>
      <c r="I141">
        <f t="shared" si="12"/>
        <v>35</v>
      </c>
    </row>
    <row r="142" spans="2:9" x14ac:dyDescent="0.35">
      <c r="B142" s="1" t="s">
        <v>291</v>
      </c>
      <c r="C142" s="1"/>
      <c r="D142" t="str">
        <f t="shared" si="11"/>
        <v>x90055</v>
      </c>
      <c r="E142" s="1" t="str">
        <f t="shared" si="10"/>
        <v xml:space="preserve">BUD 30PK </v>
      </c>
      <c r="F142" s="1" t="str">
        <f t="shared" si="13"/>
        <v>12OZ</v>
      </c>
      <c r="G142" s="3"/>
      <c r="H142" s="4">
        <f t="shared" si="14"/>
        <v>18</v>
      </c>
      <c r="I142">
        <f t="shared" si="12"/>
        <v>23</v>
      </c>
    </row>
    <row r="143" spans="2:9" x14ac:dyDescent="0.35">
      <c r="B143" s="1" t="s">
        <v>120</v>
      </c>
      <c r="C143" s="1"/>
      <c r="D143" t="str">
        <f t="shared" si="11"/>
        <v>y92588</v>
      </c>
      <c r="E143" s="1" t="str">
        <f t="shared" si="10"/>
        <v>MARK WEST CAL P/NOIR</v>
      </c>
      <c r="F143" s="1" t="str">
        <f t="shared" si="13"/>
        <v>750ML</v>
      </c>
      <c r="G143" s="3"/>
      <c r="H143" s="4">
        <f t="shared" si="14"/>
        <v>29</v>
      </c>
      <c r="I143">
        <f t="shared" si="12"/>
        <v>35</v>
      </c>
    </row>
    <row r="144" spans="2:9" x14ac:dyDescent="0.35">
      <c r="B144" s="1" t="s">
        <v>343</v>
      </c>
      <c r="C144" s="1"/>
      <c r="D144" t="str">
        <f t="shared" si="11"/>
        <v>z70810</v>
      </c>
      <c r="E144" s="1" t="str">
        <f t="shared" si="10"/>
        <v>HEINEKEN  SUITCASE S 24/</v>
      </c>
      <c r="F144" s="1" t="str">
        <f t="shared" si="13"/>
        <v>12OZ</v>
      </c>
      <c r="G144" s="3"/>
      <c r="H144" s="4">
        <f t="shared" si="14"/>
        <v>33</v>
      </c>
      <c r="I144">
        <f t="shared" si="12"/>
        <v>38</v>
      </c>
    </row>
    <row r="145" spans="2:9" x14ac:dyDescent="0.35">
      <c r="B145" s="1" t="s">
        <v>121</v>
      </c>
      <c r="C145" s="1"/>
      <c r="D145" t="str">
        <f t="shared" si="11"/>
        <v>a78803</v>
      </c>
      <c r="E145" s="1" t="str">
        <f t="shared" si="10"/>
        <v>REKORDERLIG PASSIONFRUIT CN</v>
      </c>
      <c r="F145" s="1" t="str">
        <f t="shared" si="13"/>
        <v>11.2OZ</v>
      </c>
      <c r="G145" s="3"/>
      <c r="H145" s="4">
        <f t="shared" si="14"/>
        <v>36</v>
      </c>
      <c r="I145">
        <f t="shared" si="12"/>
        <v>43</v>
      </c>
    </row>
    <row r="146" spans="2:9" x14ac:dyDescent="0.35">
      <c r="B146" s="1" t="s">
        <v>292</v>
      </c>
      <c r="C146" s="1"/>
      <c r="D146" t="str">
        <f t="shared" si="11"/>
        <v>a95873</v>
      </c>
      <c r="E146" s="1" t="str">
        <f t="shared" si="10"/>
        <v xml:space="preserve">MILLER HIGH LIFE 30PK </v>
      </c>
      <c r="F146" s="1" t="str">
        <f t="shared" si="13"/>
        <v>12OZ</v>
      </c>
      <c r="G146" s="3"/>
      <c r="H146" s="4">
        <f t="shared" si="14"/>
        <v>31</v>
      </c>
      <c r="I146">
        <f t="shared" si="12"/>
        <v>36</v>
      </c>
    </row>
    <row r="147" spans="2:9" x14ac:dyDescent="0.35">
      <c r="B147" s="1" t="s">
        <v>122</v>
      </c>
      <c r="C147" s="1"/>
      <c r="D147" t="str">
        <f t="shared" si="11"/>
        <v>b16467</v>
      </c>
      <c r="E147" s="1" t="str">
        <f t="shared" si="10"/>
        <v>WM HILL NORTH COAST CAB</v>
      </c>
      <c r="F147" s="1" t="str">
        <f t="shared" si="13"/>
        <v>750ML</v>
      </c>
      <c r="G147" s="3"/>
      <c r="H147" s="4">
        <f t="shared" si="14"/>
        <v>32</v>
      </c>
      <c r="I147">
        <f t="shared" si="12"/>
        <v>38</v>
      </c>
    </row>
    <row r="148" spans="2:9" x14ac:dyDescent="0.35">
      <c r="B148" s="1" t="s">
        <v>123</v>
      </c>
      <c r="C148" s="1"/>
      <c r="D148" t="str">
        <f t="shared" si="11"/>
        <v>c42064</v>
      </c>
      <c r="E148" s="1" t="str">
        <f t="shared" si="10"/>
        <v>GALLO FAMILY VYDS SWEET PINEAPPLE</v>
      </c>
      <c r="F148" s="1" t="str">
        <f t="shared" si="13"/>
        <v>750ML</v>
      </c>
      <c r="G148" s="3"/>
      <c r="H148" s="4">
        <f t="shared" si="14"/>
        <v>42</v>
      </c>
      <c r="I148">
        <f t="shared" si="12"/>
        <v>48</v>
      </c>
    </row>
    <row r="149" spans="2:9" x14ac:dyDescent="0.35">
      <c r="B149" s="1" t="s">
        <v>293</v>
      </c>
      <c r="C149" s="1"/>
      <c r="D149" t="str">
        <f t="shared" si="11"/>
        <v>d91591</v>
      </c>
      <c r="E149" s="1" t="str">
        <f t="shared" si="10"/>
        <v xml:space="preserve">MILLER LITE 2/12 </v>
      </c>
      <c r="F149" s="1" t="str">
        <f t="shared" si="13"/>
        <v>12OZ</v>
      </c>
      <c r="G149" s="3"/>
      <c r="H149" s="4">
        <f t="shared" si="14"/>
        <v>26</v>
      </c>
      <c r="I149">
        <f t="shared" si="12"/>
        <v>31</v>
      </c>
    </row>
    <row r="150" spans="2:9" x14ac:dyDescent="0.35">
      <c r="B150" s="1" t="s">
        <v>124</v>
      </c>
      <c r="C150" s="1"/>
      <c r="D150" t="str">
        <f t="shared" si="11"/>
        <v>e27783</v>
      </c>
      <c r="E150" s="1" t="str">
        <f t="shared" si="10"/>
        <v>MICHELOB 2/12 LNNR</v>
      </c>
      <c r="F150" s="1" t="str">
        <f t="shared" si="13"/>
        <v>12OZ</v>
      </c>
      <c r="G150" s="3"/>
      <c r="H150" s="4">
        <f t="shared" si="14"/>
        <v>27</v>
      </c>
      <c r="I150">
        <f t="shared" si="12"/>
        <v>32</v>
      </c>
    </row>
    <row r="151" spans="2:9" x14ac:dyDescent="0.35">
      <c r="B151" s="1" t="s">
        <v>125</v>
      </c>
      <c r="C151" s="1"/>
      <c r="D151" t="str">
        <f t="shared" si="11"/>
        <v>f21290</v>
      </c>
      <c r="E151" s="1" t="str">
        <f t="shared" si="10"/>
        <v>JOSE CUERVO  SILVER TRAD</v>
      </c>
      <c r="F151" s="1" t="str">
        <f t="shared" si="13"/>
        <v>750ML</v>
      </c>
      <c r="G151" s="3"/>
      <c r="H151" s="4">
        <f t="shared" si="14"/>
        <v>33</v>
      </c>
      <c r="I151">
        <f t="shared" si="12"/>
        <v>39</v>
      </c>
    </row>
    <row r="152" spans="2:9" x14ac:dyDescent="0.35">
      <c r="B152" s="1" t="s">
        <v>126</v>
      </c>
      <c r="C152" s="1"/>
      <c r="D152" t="str">
        <f t="shared" si="11"/>
        <v>g44180</v>
      </c>
      <c r="E152" s="1" t="str">
        <f t="shared" si="10"/>
        <v>HARPOON IPA 4/6 NR</v>
      </c>
      <c r="F152" s="1" t="str">
        <f t="shared" si="13"/>
        <v>12OZ</v>
      </c>
      <c r="G152" s="3"/>
      <c r="H152" s="4">
        <f t="shared" si="14"/>
        <v>27</v>
      </c>
      <c r="I152">
        <f t="shared" si="12"/>
        <v>32</v>
      </c>
    </row>
    <row r="153" spans="2:9" x14ac:dyDescent="0.35">
      <c r="B153" s="1" t="s">
        <v>127</v>
      </c>
      <c r="C153" s="1"/>
      <c r="D153" t="str">
        <f t="shared" si="11"/>
        <v>h94769</v>
      </c>
      <c r="E153" s="1" t="str">
        <f t="shared" si="10"/>
        <v>YUENGLING BLACK &amp; TAN 2/12 NR</v>
      </c>
      <c r="F153" s="1" t="str">
        <f t="shared" si="13"/>
        <v>12OZ</v>
      </c>
      <c r="G153" s="3"/>
      <c r="H153" s="4">
        <f t="shared" si="14"/>
        <v>38</v>
      </c>
      <c r="I153">
        <f t="shared" si="12"/>
        <v>43</v>
      </c>
    </row>
    <row r="154" spans="2:9" x14ac:dyDescent="0.35">
      <c r="B154" s="1" t="s">
        <v>128</v>
      </c>
      <c r="C154" s="1"/>
      <c r="D154" t="str">
        <f t="shared" si="11"/>
        <v>i66691</v>
      </c>
      <c r="E154" s="1" t="str">
        <f t="shared" si="10"/>
        <v>SANTINI SWEET MARSALA</v>
      </c>
      <c r="F154" s="1" t="str">
        <f t="shared" si="13"/>
        <v>1L</v>
      </c>
      <c r="G154" s="3"/>
      <c r="H154" s="4">
        <f t="shared" si="14"/>
        <v>30</v>
      </c>
      <c r="I154">
        <f t="shared" si="12"/>
        <v>33</v>
      </c>
    </row>
    <row r="155" spans="2:9" x14ac:dyDescent="0.35">
      <c r="B155" s="1" t="s">
        <v>129</v>
      </c>
      <c r="C155" s="1"/>
      <c r="D155" t="str">
        <f t="shared" si="11"/>
        <v>j69529</v>
      </c>
      <c r="E155" s="1" t="str">
        <f t="shared" si="10"/>
        <v>FLYING DOG GONZO IMP PORTER 4/6 NR</v>
      </c>
      <c r="F155" s="1" t="str">
        <f t="shared" si="13"/>
        <v>12OZ</v>
      </c>
      <c r="G155" s="3"/>
      <c r="H155" s="4">
        <f t="shared" si="14"/>
        <v>43</v>
      </c>
      <c r="I155">
        <f t="shared" si="12"/>
        <v>48</v>
      </c>
    </row>
    <row r="156" spans="2:9" x14ac:dyDescent="0.35">
      <c r="B156" s="1" t="s">
        <v>294</v>
      </c>
      <c r="C156" s="1"/>
      <c r="D156" t="str">
        <f t="shared" si="11"/>
        <v>k16626</v>
      </c>
      <c r="E156" s="1" t="str">
        <f t="shared" si="10"/>
        <v xml:space="preserve">MILLER HIGH LIFE 2/12 </v>
      </c>
      <c r="F156" s="1" t="str">
        <f t="shared" si="13"/>
        <v>12OZ</v>
      </c>
      <c r="G156" s="3"/>
      <c r="H156" s="4">
        <f t="shared" si="14"/>
        <v>31</v>
      </c>
      <c r="I156">
        <f t="shared" si="12"/>
        <v>36</v>
      </c>
    </row>
    <row r="157" spans="2:9" x14ac:dyDescent="0.35">
      <c r="B157" s="1" t="s">
        <v>372</v>
      </c>
      <c r="C157" s="1"/>
      <c r="D157" t="str">
        <f t="shared" si="11"/>
        <v>l81761</v>
      </c>
      <c r="E157" s="1" t="str">
        <f t="shared" si="10"/>
        <v>FLYING DOG FAMILY DRAMA IMPERIAL PILSNER 4/6 NR</v>
      </c>
      <c r="F157" s="1" t="str">
        <f t="shared" si="13"/>
        <v>12.0Z</v>
      </c>
      <c r="G157" s="3"/>
      <c r="H157" s="4">
        <f t="shared" si="14"/>
        <v>56</v>
      </c>
      <c r="I157">
        <f t="shared" si="12"/>
        <v>62</v>
      </c>
    </row>
    <row r="158" spans="2:9" x14ac:dyDescent="0.35">
      <c r="B158" s="1" t="s">
        <v>295</v>
      </c>
      <c r="C158" s="1"/>
      <c r="D158" t="str">
        <f t="shared" si="11"/>
        <v>m76706</v>
      </c>
      <c r="E158" s="1" t="str">
        <f t="shared" si="10"/>
        <v>MILLER LITE BIG 18 PK S</v>
      </c>
      <c r="F158" s="1" t="str">
        <f t="shared" si="13"/>
        <v>16OZ</v>
      </c>
      <c r="G158" s="3"/>
      <c r="H158" s="4">
        <f t="shared" si="14"/>
        <v>32</v>
      </c>
      <c r="I158">
        <f t="shared" si="12"/>
        <v>37</v>
      </c>
    </row>
    <row r="159" spans="2:9" x14ac:dyDescent="0.35">
      <c r="B159" s="1" t="s">
        <v>373</v>
      </c>
      <c r="C159" s="1"/>
      <c r="D159" t="str">
        <f t="shared" si="11"/>
        <v>n93871</v>
      </c>
      <c r="E159" s="1" t="str">
        <f t="shared" si="10"/>
        <v>BUD ICE 15/25OZ S</v>
      </c>
      <c r="F159" s="1" t="str">
        <f t="shared" si="13"/>
        <v>24oz</v>
      </c>
      <c r="G159" s="3"/>
      <c r="H159" s="4">
        <f t="shared" si="14"/>
        <v>26</v>
      </c>
      <c r="I159">
        <f t="shared" si="12"/>
        <v>31</v>
      </c>
    </row>
    <row r="160" spans="2:9" x14ac:dyDescent="0.35">
      <c r="B160" s="1" t="s">
        <v>296</v>
      </c>
      <c r="C160" s="1"/>
      <c r="D160" t="str">
        <f t="shared" si="11"/>
        <v>o24197</v>
      </c>
      <c r="E160" s="1" t="str">
        <f t="shared" si="10"/>
        <v xml:space="preserve">BUSCH 30PK </v>
      </c>
      <c r="F160" s="1" t="str">
        <f t="shared" si="13"/>
        <v>12OZ</v>
      </c>
      <c r="G160" s="3"/>
      <c r="H160" s="4">
        <f t="shared" si="14"/>
        <v>20</v>
      </c>
      <c r="I160">
        <f t="shared" si="12"/>
        <v>25</v>
      </c>
    </row>
    <row r="161" spans="2:9" x14ac:dyDescent="0.35">
      <c r="B161" s="1" t="s">
        <v>130</v>
      </c>
      <c r="C161" s="1"/>
      <c r="D161" t="str">
        <f t="shared" si="11"/>
        <v>p83706</v>
      </c>
      <c r="E161" s="1" t="str">
        <f t="shared" si="10"/>
        <v>JAMESON IRISH WHISKEY</v>
      </c>
      <c r="F161" s="1" t="str">
        <f t="shared" si="13"/>
        <v>750ML</v>
      </c>
      <c r="G161" s="3"/>
      <c r="H161" s="4">
        <f t="shared" si="14"/>
        <v>30</v>
      </c>
      <c r="I161">
        <f t="shared" si="12"/>
        <v>36</v>
      </c>
    </row>
    <row r="162" spans="2:9" x14ac:dyDescent="0.35">
      <c r="B162" s="1" t="s">
        <v>131</v>
      </c>
      <c r="C162" s="1"/>
      <c r="D162" t="str">
        <f t="shared" si="11"/>
        <v>q82396</v>
      </c>
      <c r="E162" s="1" t="str">
        <f t="shared" si="10"/>
        <v>AMSTEL LIGHT LOOSE NR</v>
      </c>
      <c r="F162" s="1" t="str">
        <f t="shared" si="13"/>
        <v>12OZ</v>
      </c>
      <c r="G162" s="3"/>
      <c r="H162" s="4">
        <f t="shared" si="14"/>
        <v>30</v>
      </c>
      <c r="I162">
        <f t="shared" si="12"/>
        <v>35</v>
      </c>
    </row>
    <row r="163" spans="2:9" x14ac:dyDescent="0.35">
      <c r="B163" s="1" t="s">
        <v>374</v>
      </c>
      <c r="C163" s="1"/>
      <c r="D163" t="str">
        <f t="shared" si="11"/>
        <v>r93262</v>
      </c>
      <c r="E163" s="1" t="str">
        <f t="shared" si="10"/>
        <v>COORS LIGHT 2/12</v>
      </c>
      <c r="F163" s="1" t="str">
        <f t="shared" si="13"/>
        <v>16OZ</v>
      </c>
      <c r="G163" s="3"/>
      <c r="H163" s="4">
        <f t="shared" si="14"/>
        <v>25</v>
      </c>
      <c r="I163">
        <f t="shared" si="12"/>
        <v>31</v>
      </c>
    </row>
    <row r="164" spans="2:9" x14ac:dyDescent="0.35">
      <c r="B164" s="1" t="s">
        <v>132</v>
      </c>
      <c r="C164" s="1"/>
      <c r="D164" t="str">
        <f t="shared" si="11"/>
        <v>s28510</v>
      </c>
      <c r="E164" s="1" t="str">
        <f t="shared" si="10"/>
        <v>OLD CROW BOURBON</v>
      </c>
      <c r="F164" s="1" t="str">
        <f t="shared" si="13"/>
        <v>1L</v>
      </c>
      <c r="G164" s="3"/>
      <c r="H164" s="4">
        <f t="shared" si="14"/>
        <v>25</v>
      </c>
      <c r="I164">
        <f t="shared" si="12"/>
        <v>28</v>
      </c>
    </row>
    <row r="165" spans="2:9" x14ac:dyDescent="0.35">
      <c r="B165" s="1" t="s">
        <v>390</v>
      </c>
      <c r="C165" s="1"/>
      <c r="D165" t="str">
        <f t="shared" si="11"/>
        <v>t10661</v>
      </c>
      <c r="E165" s="1" t="str">
        <f t="shared" si="10"/>
        <v xml:space="preserve">MODELO ESPECIAL 2/12 </v>
      </c>
      <c r="F165" s="1" t="str">
        <f t="shared" si="13"/>
        <v>12OZ</v>
      </c>
      <c r="G165" s="3"/>
      <c r="H165" s="4">
        <f t="shared" si="14"/>
        <v>30</v>
      </c>
      <c r="I165">
        <f t="shared" si="12"/>
        <v>35</v>
      </c>
    </row>
    <row r="166" spans="2:9" x14ac:dyDescent="0.35">
      <c r="B166" s="1" t="s">
        <v>133</v>
      </c>
      <c r="C166" s="1"/>
      <c r="D166" t="str">
        <f t="shared" si="11"/>
        <v>u66663</v>
      </c>
      <c r="E166" s="1" t="str">
        <f t="shared" si="10"/>
        <v>HIGHLAND PARK 12YR</v>
      </c>
      <c r="F166" s="1" t="str">
        <f t="shared" si="13"/>
        <v>750ML</v>
      </c>
      <c r="G166" s="3"/>
      <c r="H166" s="4">
        <f t="shared" si="14"/>
        <v>27</v>
      </c>
      <c r="I166">
        <f t="shared" si="12"/>
        <v>33</v>
      </c>
    </row>
    <row r="167" spans="2:9" x14ac:dyDescent="0.35">
      <c r="B167" s="1" t="s">
        <v>297</v>
      </c>
      <c r="C167" s="1"/>
      <c r="D167" t="str">
        <f t="shared" si="11"/>
        <v>v23184</v>
      </c>
      <c r="E167" s="1" t="str">
        <f t="shared" si="10"/>
        <v xml:space="preserve">CORONA EXTRA 2/12 </v>
      </c>
      <c r="F167" s="1" t="str">
        <f t="shared" si="13"/>
        <v>12OZ</v>
      </c>
      <c r="G167" s="3"/>
      <c r="H167" s="4">
        <f t="shared" si="14"/>
        <v>27</v>
      </c>
      <c r="I167">
        <f t="shared" si="12"/>
        <v>32</v>
      </c>
    </row>
    <row r="168" spans="2:9" x14ac:dyDescent="0.35">
      <c r="B168" s="1" t="s">
        <v>134</v>
      </c>
      <c r="C168" s="1"/>
      <c r="D168" t="str">
        <f t="shared" si="11"/>
        <v>w72511</v>
      </c>
      <c r="E168" s="1" t="str">
        <f t="shared" si="10"/>
        <v>DOS EQUIS LAGER 4/6 NR</v>
      </c>
      <c r="F168" s="1" t="str">
        <f t="shared" si="13"/>
        <v>12OZ</v>
      </c>
      <c r="G168" s="3"/>
      <c r="H168" s="4">
        <f t="shared" si="14"/>
        <v>31</v>
      </c>
      <c r="I168">
        <f t="shared" si="12"/>
        <v>36</v>
      </c>
    </row>
    <row r="169" spans="2:9" x14ac:dyDescent="0.35">
      <c r="B169" s="1" t="s">
        <v>391</v>
      </c>
      <c r="C169" s="1"/>
      <c r="D169" t="str">
        <f t="shared" si="11"/>
        <v>x21610</v>
      </c>
      <c r="E169" s="1" t="str">
        <f t="shared" si="10"/>
        <v xml:space="preserve">MODELO ESPECIAL 4/6 </v>
      </c>
      <c r="F169" s="1" t="str">
        <f t="shared" si="13"/>
        <v>12OZ</v>
      </c>
      <c r="G169" s="3"/>
      <c r="H169" s="4">
        <f t="shared" si="14"/>
        <v>29</v>
      </c>
      <c r="I169">
        <f t="shared" si="12"/>
        <v>34</v>
      </c>
    </row>
    <row r="170" spans="2:9" x14ac:dyDescent="0.35">
      <c r="B170" s="1" t="s">
        <v>135</v>
      </c>
      <c r="C170" s="1"/>
      <c r="D170" t="str">
        <f t="shared" si="11"/>
        <v>y77510</v>
      </c>
      <c r="E170" s="1" t="str">
        <f t="shared" si="10"/>
        <v>MODELO ESPECIAL 4/6 NR</v>
      </c>
      <c r="F170" s="1" t="str">
        <f t="shared" si="13"/>
        <v>12OZ</v>
      </c>
      <c r="G170" s="3"/>
      <c r="H170" s="4">
        <f t="shared" si="14"/>
        <v>31</v>
      </c>
      <c r="I170">
        <f t="shared" si="12"/>
        <v>36</v>
      </c>
    </row>
    <row r="171" spans="2:9" x14ac:dyDescent="0.35">
      <c r="B171" s="1" t="s">
        <v>136</v>
      </c>
      <c r="C171" s="1"/>
      <c r="D171" t="str">
        <f t="shared" si="11"/>
        <v>z41737</v>
      </c>
      <c r="E171" s="1" t="str">
        <f t="shared" si="10"/>
        <v>SMITH &amp; HOOK CAB</v>
      </c>
      <c r="F171" s="1" t="str">
        <f t="shared" si="13"/>
        <v>750ML</v>
      </c>
      <c r="G171" s="3"/>
      <c r="H171" s="4">
        <f t="shared" si="14"/>
        <v>25</v>
      </c>
      <c r="I171">
        <f t="shared" si="12"/>
        <v>31</v>
      </c>
    </row>
    <row r="172" spans="2:9" x14ac:dyDescent="0.35">
      <c r="B172" s="1" t="s">
        <v>137</v>
      </c>
      <c r="C172" s="1"/>
      <c r="D172" t="str">
        <f t="shared" si="11"/>
        <v>a19283</v>
      </c>
      <c r="E172" s="1" t="str">
        <f t="shared" si="10"/>
        <v>SMIRNOFF PARTY PACK 2/12 NR</v>
      </c>
      <c r="F172" s="1" t="str">
        <f t="shared" si="13"/>
        <v>11.2OZ</v>
      </c>
      <c r="G172" s="3"/>
      <c r="H172" s="4">
        <f t="shared" si="14"/>
        <v>36</v>
      </c>
      <c r="I172">
        <f t="shared" si="12"/>
        <v>43</v>
      </c>
    </row>
    <row r="173" spans="2:9" x14ac:dyDescent="0.35">
      <c r="B173" s="1" t="s">
        <v>298</v>
      </c>
      <c r="C173" s="1"/>
      <c r="D173" t="str">
        <f t="shared" si="11"/>
        <v>b74085</v>
      </c>
      <c r="E173" s="1" t="str">
        <f t="shared" si="10"/>
        <v xml:space="preserve">MILLER LITE 30PK </v>
      </c>
      <c r="F173" s="1" t="str">
        <f t="shared" si="13"/>
        <v>12OZ</v>
      </c>
      <c r="G173" s="3"/>
      <c r="H173" s="4">
        <f t="shared" si="14"/>
        <v>26</v>
      </c>
      <c r="I173">
        <f t="shared" si="12"/>
        <v>31</v>
      </c>
    </row>
    <row r="174" spans="2:9" x14ac:dyDescent="0.35">
      <c r="B174" s="1" t="s">
        <v>138</v>
      </c>
      <c r="C174" s="1"/>
      <c r="D174" t="str">
        <f t="shared" si="11"/>
        <v>c32471</v>
      </c>
      <c r="E174" s="1" t="str">
        <f t="shared" si="10"/>
        <v>BLACK BOX PINOT NOIR</v>
      </c>
      <c r="F174" s="1" t="str">
        <f t="shared" si="13"/>
        <v>3L</v>
      </c>
      <c r="G174" s="3"/>
      <c r="H174" s="4">
        <f t="shared" si="14"/>
        <v>29</v>
      </c>
      <c r="I174">
        <f t="shared" si="12"/>
        <v>32</v>
      </c>
    </row>
    <row r="175" spans="2:9" x14ac:dyDescent="0.35">
      <c r="B175" s="1" t="s">
        <v>139</v>
      </c>
      <c r="C175" s="1"/>
      <c r="D175" t="str">
        <f t="shared" si="11"/>
        <v>d81951</v>
      </c>
      <c r="E175" s="1" t="str">
        <f t="shared" si="10"/>
        <v>OLD GRAND DAD BOURBON</v>
      </c>
      <c r="F175" s="1" t="str">
        <f t="shared" si="13"/>
        <v>750ML</v>
      </c>
      <c r="G175" s="3"/>
      <c r="H175" s="4">
        <f t="shared" si="14"/>
        <v>30</v>
      </c>
      <c r="I175">
        <f t="shared" si="12"/>
        <v>36</v>
      </c>
    </row>
    <row r="176" spans="2:9" x14ac:dyDescent="0.35">
      <c r="B176" s="1" t="s">
        <v>140</v>
      </c>
      <c r="C176" s="1"/>
      <c r="D176" t="str">
        <f t="shared" si="11"/>
        <v>e48489</v>
      </c>
      <c r="E176" s="1" t="str">
        <f t="shared" si="10"/>
        <v>CORONA EXTRA 18PK NR</v>
      </c>
      <c r="F176" s="1" t="str">
        <f t="shared" si="13"/>
        <v>12OZ</v>
      </c>
      <c r="G176" s="3"/>
      <c r="H176" s="4">
        <f t="shared" si="14"/>
        <v>29</v>
      </c>
      <c r="I176">
        <f t="shared" si="12"/>
        <v>34</v>
      </c>
    </row>
    <row r="177" spans="2:9" x14ac:dyDescent="0.35">
      <c r="B177" s="1" t="s">
        <v>141</v>
      </c>
      <c r="C177" s="1"/>
      <c r="D177" t="str">
        <f t="shared" si="11"/>
        <v>f37054</v>
      </c>
      <c r="E177" s="1" t="str">
        <f t="shared" si="10"/>
        <v>SINGHA BEER 4/6 NR</v>
      </c>
      <c r="F177" s="1" t="str">
        <f t="shared" si="13"/>
        <v>12OZ</v>
      </c>
      <c r="G177" s="3"/>
      <c r="H177" s="4">
        <f t="shared" si="14"/>
        <v>27</v>
      </c>
      <c r="I177">
        <f t="shared" si="12"/>
        <v>32</v>
      </c>
    </row>
    <row r="178" spans="2:9" x14ac:dyDescent="0.35">
      <c r="B178" s="1" t="s">
        <v>142</v>
      </c>
      <c r="C178" s="1"/>
      <c r="D178" t="str">
        <f t="shared" si="11"/>
        <v>g56962</v>
      </c>
      <c r="E178" s="1" t="str">
        <f t="shared" si="10"/>
        <v>HEINEKEN 2/12 NR</v>
      </c>
      <c r="F178" s="1" t="str">
        <f t="shared" si="13"/>
        <v>12OZ</v>
      </c>
      <c r="G178" s="3"/>
      <c r="H178" s="4">
        <f t="shared" si="14"/>
        <v>25</v>
      </c>
      <c r="I178">
        <f t="shared" si="12"/>
        <v>30</v>
      </c>
    </row>
    <row r="179" spans="2:9" x14ac:dyDescent="0.35">
      <c r="B179" s="1" t="s">
        <v>344</v>
      </c>
      <c r="C179" s="1"/>
      <c r="D179" t="str">
        <f t="shared" si="11"/>
        <v>h58408</v>
      </c>
      <c r="E179" s="1" t="str">
        <f t="shared" si="10"/>
        <v>FLYING DOG ME LLAMO MOLE STOUT 4/6 NR</v>
      </c>
      <c r="F179" s="1" t="str">
        <f t="shared" si="13"/>
        <v>12OZ</v>
      </c>
      <c r="G179" s="3"/>
      <c r="H179" s="4">
        <f t="shared" si="14"/>
        <v>46</v>
      </c>
      <c r="I179">
        <f t="shared" si="12"/>
        <v>51</v>
      </c>
    </row>
    <row r="180" spans="2:9" x14ac:dyDescent="0.35">
      <c r="B180" s="1" t="s">
        <v>143</v>
      </c>
      <c r="C180" s="1"/>
      <c r="D180" t="str">
        <f t="shared" si="11"/>
        <v>i80805</v>
      </c>
      <c r="E180" s="1" t="str">
        <f t="shared" si="10"/>
        <v>HEINEKEN LOOSE NR</v>
      </c>
      <c r="F180" s="1" t="str">
        <f t="shared" si="13"/>
        <v>12OZ</v>
      </c>
      <c r="G180" s="3"/>
      <c r="H180" s="4">
        <f t="shared" si="14"/>
        <v>26</v>
      </c>
      <c r="I180">
        <f t="shared" si="12"/>
        <v>31</v>
      </c>
    </row>
    <row r="181" spans="2:9" x14ac:dyDescent="0.35">
      <c r="B181" s="1" t="s">
        <v>299</v>
      </c>
      <c r="C181" s="1"/>
      <c r="D181" t="str">
        <f t="shared" si="11"/>
        <v>j62404</v>
      </c>
      <c r="E181" s="1" t="str">
        <f t="shared" si="10"/>
        <v xml:space="preserve">MILLER LITE 2/12 </v>
      </c>
      <c r="F181" s="1" t="str">
        <f t="shared" si="13"/>
        <v>12OZ</v>
      </c>
      <c r="G181" s="3"/>
      <c r="H181" s="4">
        <f t="shared" si="14"/>
        <v>26</v>
      </c>
      <c r="I181">
        <f t="shared" si="12"/>
        <v>31</v>
      </c>
    </row>
    <row r="182" spans="2:9" x14ac:dyDescent="0.35">
      <c r="B182" s="1" t="s">
        <v>144</v>
      </c>
      <c r="C182" s="1"/>
      <c r="D182" t="str">
        <f t="shared" si="11"/>
        <v>k32484</v>
      </c>
      <c r="E182" s="1" t="str">
        <f t="shared" si="10"/>
        <v>BRUNDLMAYER GRUN VELT TERR</v>
      </c>
      <c r="F182" s="1" t="str">
        <f t="shared" si="13"/>
        <v>750ML</v>
      </c>
      <c r="G182" s="3"/>
      <c r="H182" s="4">
        <f t="shared" si="14"/>
        <v>35</v>
      </c>
      <c r="I182">
        <f t="shared" si="12"/>
        <v>41</v>
      </c>
    </row>
    <row r="183" spans="2:9" x14ac:dyDescent="0.35">
      <c r="B183" s="1" t="s">
        <v>345</v>
      </c>
      <c r="C183" s="1"/>
      <c r="D183" t="str">
        <f t="shared" si="11"/>
        <v>l14944</v>
      </c>
      <c r="E183" s="1" t="str">
        <f t="shared" si="10"/>
        <v>CORONA PREMIER 2/12PK</v>
      </c>
      <c r="F183" s="1" t="str">
        <f t="shared" si="13"/>
        <v>12 OZ</v>
      </c>
      <c r="G183" s="3"/>
      <c r="H183" s="4">
        <f t="shared" si="14"/>
        <v>30</v>
      </c>
      <c r="I183">
        <f t="shared" si="12"/>
        <v>36</v>
      </c>
    </row>
    <row r="184" spans="2:9" x14ac:dyDescent="0.35">
      <c r="B184" s="1" t="s">
        <v>145</v>
      </c>
      <c r="C184" s="1"/>
      <c r="D184" t="str">
        <f t="shared" si="11"/>
        <v>m84896</v>
      </c>
      <c r="E184" s="1" t="str">
        <f t="shared" si="10"/>
        <v>CH LE CALVAIRE BORDEAUX SUPERIEUR</v>
      </c>
      <c r="F184" s="1" t="str">
        <f t="shared" si="13"/>
        <v>750ML</v>
      </c>
      <c r="G184" s="3"/>
      <c r="H184" s="4">
        <f t="shared" si="14"/>
        <v>42</v>
      </c>
      <c r="I184">
        <f t="shared" si="12"/>
        <v>48</v>
      </c>
    </row>
    <row r="185" spans="2:9" x14ac:dyDescent="0.35">
      <c r="B185" s="1" t="s">
        <v>300</v>
      </c>
      <c r="C185" s="1"/>
      <c r="D185" t="str">
        <f t="shared" si="11"/>
        <v>n42707</v>
      </c>
      <c r="E185" s="1" t="str">
        <f t="shared" si="10"/>
        <v>DOMINION DI BELGIAN TRIPEL 4/6NR</v>
      </c>
      <c r="F185" s="1" t="str">
        <f t="shared" si="13"/>
        <v>12OZ</v>
      </c>
      <c r="G185" s="3"/>
      <c r="H185" s="4">
        <f t="shared" si="14"/>
        <v>41</v>
      </c>
      <c r="I185">
        <f t="shared" si="12"/>
        <v>46</v>
      </c>
    </row>
    <row r="186" spans="2:9" x14ac:dyDescent="0.35">
      <c r="B186" s="1" t="s">
        <v>146</v>
      </c>
      <c r="C186" s="1"/>
      <c r="D186" t="str">
        <f t="shared" si="11"/>
        <v>o62343</v>
      </c>
      <c r="E186" s="1" t="str">
        <f t="shared" si="10"/>
        <v>STELLA ARTOIS 4/6 NR</v>
      </c>
      <c r="F186" s="1" t="str">
        <f t="shared" si="13"/>
        <v>11.2OZ</v>
      </c>
      <c r="G186" s="3"/>
      <c r="H186" s="4">
        <f t="shared" si="14"/>
        <v>29</v>
      </c>
      <c r="I186">
        <f t="shared" si="12"/>
        <v>36</v>
      </c>
    </row>
    <row r="187" spans="2:9" x14ac:dyDescent="0.35">
      <c r="B187" s="1" t="s">
        <v>346</v>
      </c>
      <c r="C187" s="1"/>
      <c r="D187" t="str">
        <f t="shared" si="11"/>
        <v>p85893</v>
      </c>
      <c r="E187" s="1" t="str">
        <f t="shared" si="10"/>
        <v>WHITE CLAW VARIETY PACK 2/12PK</v>
      </c>
      <c r="F187" s="1" t="str">
        <f t="shared" si="13"/>
        <v>12.OZ</v>
      </c>
      <c r="G187" s="3"/>
      <c r="H187" s="4">
        <f t="shared" si="14"/>
        <v>39</v>
      </c>
      <c r="I187">
        <f t="shared" si="12"/>
        <v>46</v>
      </c>
    </row>
    <row r="188" spans="2:9" x14ac:dyDescent="0.35">
      <c r="B188" s="1" t="s">
        <v>147</v>
      </c>
      <c r="C188" s="1"/>
      <c r="D188" t="str">
        <f t="shared" si="11"/>
        <v>q45091</v>
      </c>
      <c r="E188" s="1" t="str">
        <f t="shared" si="10"/>
        <v>YELLOW TAIL MERLOT</v>
      </c>
      <c r="F188" s="1" t="str">
        <f t="shared" si="13"/>
        <v>750ML</v>
      </c>
      <c r="G188" s="3"/>
      <c r="H188" s="4">
        <f t="shared" si="14"/>
        <v>27</v>
      </c>
      <c r="I188">
        <f t="shared" si="12"/>
        <v>33</v>
      </c>
    </row>
    <row r="189" spans="2:9" x14ac:dyDescent="0.35">
      <c r="B189" s="1" t="s">
        <v>148</v>
      </c>
      <c r="C189" s="1"/>
      <c r="D189" t="str">
        <f t="shared" si="11"/>
        <v>r21746</v>
      </c>
      <c r="E189" s="1" t="str">
        <f t="shared" si="10"/>
        <v>MIKES CRAN LEMONADE 4/6 NR</v>
      </c>
      <c r="F189" s="1" t="str">
        <f t="shared" si="13"/>
        <v>11.2OZ</v>
      </c>
      <c r="G189" s="3"/>
      <c r="H189" s="4">
        <f t="shared" si="14"/>
        <v>35</v>
      </c>
      <c r="I189">
        <f t="shared" si="12"/>
        <v>42</v>
      </c>
    </row>
    <row r="190" spans="2:9" x14ac:dyDescent="0.35">
      <c r="B190" s="1" t="s">
        <v>347</v>
      </c>
      <c r="C190" s="1"/>
      <c r="D190" t="str">
        <f t="shared" si="11"/>
        <v>s48784</v>
      </c>
      <c r="E190" s="1" t="str">
        <f t="shared" si="10"/>
        <v>HEINEKEN  SUITCASE S 24/</v>
      </c>
      <c r="F190" s="1" t="str">
        <f t="shared" si="13"/>
        <v>12OZ</v>
      </c>
      <c r="G190" s="3"/>
      <c r="H190" s="4">
        <f t="shared" si="14"/>
        <v>33</v>
      </c>
      <c r="I190">
        <f t="shared" si="12"/>
        <v>38</v>
      </c>
    </row>
    <row r="191" spans="2:9" x14ac:dyDescent="0.35">
      <c r="B191" s="1" t="s">
        <v>149</v>
      </c>
      <c r="C191" s="1"/>
      <c r="D191" t="str">
        <f t="shared" si="11"/>
        <v>t22529</v>
      </c>
      <c r="E191" s="1" t="str">
        <f t="shared" si="10"/>
        <v>BOWMAN'S VODKA</v>
      </c>
      <c r="F191" s="1" t="str">
        <f t="shared" si="13"/>
        <v>1L</v>
      </c>
      <c r="G191" s="3"/>
      <c r="H191" s="4">
        <f t="shared" si="14"/>
        <v>23</v>
      </c>
      <c r="I191">
        <f t="shared" si="12"/>
        <v>26</v>
      </c>
    </row>
    <row r="192" spans="2:9" x14ac:dyDescent="0.35">
      <c r="B192" s="1" t="s">
        <v>392</v>
      </c>
      <c r="C192" s="1"/>
      <c r="D192" t="str">
        <f t="shared" si="11"/>
        <v>u83252</v>
      </c>
      <c r="E192" s="1" t="str">
        <f t="shared" si="10"/>
        <v>CIROC VODKA PINEAPPLE</v>
      </c>
      <c r="F192" s="1" t="str">
        <f t="shared" si="13"/>
        <v>1.75L</v>
      </c>
      <c r="G192" s="3"/>
      <c r="H192" s="4">
        <f t="shared" si="14"/>
        <v>30</v>
      </c>
      <c r="I192">
        <f t="shared" si="12"/>
        <v>36</v>
      </c>
    </row>
    <row r="193" spans="2:9" x14ac:dyDescent="0.35">
      <c r="B193" s="1" t="s">
        <v>150</v>
      </c>
      <c r="C193" s="1"/>
      <c r="D193" t="str">
        <f t="shared" si="11"/>
        <v>v86280</v>
      </c>
      <c r="E193" s="1" t="str">
        <f t="shared" si="10"/>
        <v>FLYING DOG THE TRUTH 4/6NR</v>
      </c>
      <c r="F193" s="1" t="str">
        <f t="shared" si="13"/>
        <v>12OZ</v>
      </c>
      <c r="G193" s="3"/>
      <c r="H193" s="4">
        <f t="shared" si="14"/>
        <v>35</v>
      </c>
      <c r="I193">
        <f t="shared" si="12"/>
        <v>40</v>
      </c>
    </row>
    <row r="194" spans="2:9" x14ac:dyDescent="0.35">
      <c r="B194" s="1" t="s">
        <v>151</v>
      </c>
      <c r="C194" s="1"/>
      <c r="D194" t="str">
        <f t="shared" si="11"/>
        <v>w64045</v>
      </c>
      <c r="E194" s="1" t="str">
        <f t="shared" si="10"/>
        <v>WOODBRIDGE CAB</v>
      </c>
      <c r="F194" s="1" t="str">
        <f t="shared" si="13"/>
        <v>1.5L</v>
      </c>
      <c r="G194" s="3"/>
      <c r="H194" s="4">
        <f t="shared" si="14"/>
        <v>23</v>
      </c>
      <c r="I194">
        <f t="shared" si="12"/>
        <v>28</v>
      </c>
    </row>
    <row r="195" spans="2:9" x14ac:dyDescent="0.35">
      <c r="B195" s="1" t="s">
        <v>152</v>
      </c>
      <c r="C195" s="1"/>
      <c r="D195" t="str">
        <f t="shared" si="11"/>
        <v>x92161</v>
      </c>
      <c r="E195" s="1" t="str">
        <f t="shared" si="10"/>
        <v>GUINNESS STOUT 2/12 NR</v>
      </c>
      <c r="F195" s="1" t="str">
        <f t="shared" si="13"/>
        <v>12OZ</v>
      </c>
      <c r="G195" s="3"/>
      <c r="H195" s="4">
        <f t="shared" si="14"/>
        <v>31</v>
      </c>
      <c r="I195">
        <f t="shared" si="12"/>
        <v>36</v>
      </c>
    </row>
    <row r="196" spans="2:9" x14ac:dyDescent="0.35">
      <c r="B196" s="1" t="s">
        <v>301</v>
      </c>
      <c r="C196" s="1"/>
      <c r="D196" t="str">
        <f t="shared" si="11"/>
        <v>y73968</v>
      </c>
      <c r="E196" s="1" t="str">
        <f t="shared" si="10"/>
        <v xml:space="preserve">COORS LT 18PK </v>
      </c>
      <c r="F196" s="1" t="str">
        <f t="shared" si="13"/>
        <v>12OZ</v>
      </c>
      <c r="G196" s="3"/>
      <c r="H196" s="4">
        <f t="shared" si="14"/>
        <v>23</v>
      </c>
      <c r="I196">
        <f t="shared" si="12"/>
        <v>28</v>
      </c>
    </row>
    <row r="197" spans="2:9" x14ac:dyDescent="0.35">
      <c r="B197" s="1" t="s">
        <v>153</v>
      </c>
      <c r="C197" s="1"/>
      <c r="D197" t="str">
        <f t="shared" si="11"/>
        <v>z76182</v>
      </c>
      <c r="E197" s="1" t="str">
        <f t="shared" ref="E197:E260" si="15">MID(B197,8,H197-9)</f>
        <v>MOLSON GOLDEN 2/12 LNNR</v>
      </c>
      <c r="F197" s="1" t="str">
        <f t="shared" si="13"/>
        <v>12OZ</v>
      </c>
      <c r="G197" s="3"/>
      <c r="H197" s="4">
        <f t="shared" si="14"/>
        <v>32</v>
      </c>
      <c r="I197">
        <f t="shared" si="12"/>
        <v>37</v>
      </c>
    </row>
    <row r="198" spans="2:9" x14ac:dyDescent="0.35">
      <c r="B198" s="1" t="s">
        <v>154</v>
      </c>
      <c r="C198" s="1"/>
      <c r="D198" t="str">
        <f t="shared" ref="D198:D261" si="16">LEFT(B198,6)</f>
        <v>a40066</v>
      </c>
      <c r="E198" s="1" t="str">
        <f t="shared" si="15"/>
        <v>BERINGER FOUNDERS EST CAB</v>
      </c>
      <c r="F198" s="1" t="str">
        <f t="shared" si="13"/>
        <v>750ML</v>
      </c>
      <c r="G198" s="3"/>
      <c r="H198" s="4">
        <f t="shared" si="14"/>
        <v>34</v>
      </c>
      <c r="I198">
        <f t="shared" ref="I198:I261" si="17">LEN(B198)</f>
        <v>40</v>
      </c>
    </row>
    <row r="199" spans="2:9" x14ac:dyDescent="0.35">
      <c r="B199" s="1" t="s">
        <v>155</v>
      </c>
      <c r="C199" s="1"/>
      <c r="D199" t="str">
        <f t="shared" si="16"/>
        <v>b18338</v>
      </c>
      <c r="E199" s="1" t="str">
        <f t="shared" si="15"/>
        <v>BOSCO R MONTPUL</v>
      </c>
      <c r="F199" s="1" t="str">
        <f t="shared" ref="F199:F262" si="18">TRIM(RIGHT(B199,I199-H199))</f>
        <v>750ML</v>
      </c>
      <c r="G199" s="3"/>
      <c r="H199" s="4">
        <f t="shared" ref="H199:H262" si="19">FIND("-",B199)</f>
        <v>24</v>
      </c>
      <c r="I199">
        <f t="shared" si="17"/>
        <v>30</v>
      </c>
    </row>
    <row r="200" spans="2:9" x14ac:dyDescent="0.35">
      <c r="B200" s="1" t="s">
        <v>156</v>
      </c>
      <c r="C200" s="1"/>
      <c r="D200" t="str">
        <f t="shared" si="16"/>
        <v>c60796</v>
      </c>
      <c r="E200" s="1" t="str">
        <f t="shared" si="15"/>
        <v>YUENGLING LAGER 2/12 NR</v>
      </c>
      <c r="F200" s="1" t="str">
        <f t="shared" si="18"/>
        <v>12OZ</v>
      </c>
      <c r="G200" s="3"/>
      <c r="H200" s="4">
        <f t="shared" si="19"/>
        <v>32</v>
      </c>
      <c r="I200">
        <f t="shared" si="17"/>
        <v>37</v>
      </c>
    </row>
    <row r="201" spans="2:9" x14ac:dyDescent="0.35">
      <c r="B201" s="1" t="s">
        <v>157</v>
      </c>
      <c r="C201" s="1"/>
      <c r="D201" t="str">
        <f t="shared" si="16"/>
        <v>d82993</v>
      </c>
      <c r="E201" s="1" t="str">
        <f t="shared" si="15"/>
        <v>ANNALISA P/GRIG</v>
      </c>
      <c r="F201" s="1" t="str">
        <f t="shared" si="18"/>
        <v>750ML</v>
      </c>
      <c r="G201" s="3"/>
      <c r="H201" s="4">
        <f t="shared" si="19"/>
        <v>24</v>
      </c>
      <c r="I201">
        <f t="shared" si="17"/>
        <v>30</v>
      </c>
    </row>
    <row r="202" spans="2:9" x14ac:dyDescent="0.35">
      <c r="B202" s="1" t="s">
        <v>158</v>
      </c>
      <c r="C202" s="1"/>
      <c r="D202" t="str">
        <f t="shared" si="16"/>
        <v>e38810</v>
      </c>
      <c r="E202" s="1" t="str">
        <f t="shared" si="15"/>
        <v>ALAMOS MALBEC</v>
      </c>
      <c r="F202" s="1" t="str">
        <f t="shared" si="18"/>
        <v>750ML</v>
      </c>
      <c r="G202" s="3"/>
      <c r="H202" s="4">
        <f t="shared" si="19"/>
        <v>22</v>
      </c>
      <c r="I202">
        <f t="shared" si="17"/>
        <v>28</v>
      </c>
    </row>
    <row r="203" spans="2:9" x14ac:dyDescent="0.35">
      <c r="B203" s="1" t="s">
        <v>159</v>
      </c>
      <c r="C203" s="1"/>
      <c r="D203" t="str">
        <f t="shared" si="16"/>
        <v>f56036</v>
      </c>
      <c r="E203" s="1" t="str">
        <f t="shared" si="15"/>
        <v>ALTO DEL CARMEN PISCO</v>
      </c>
      <c r="F203" s="1" t="str">
        <f t="shared" si="18"/>
        <v>750ML</v>
      </c>
      <c r="G203" s="3"/>
      <c r="H203" s="4">
        <f t="shared" si="19"/>
        <v>30</v>
      </c>
      <c r="I203">
        <f t="shared" si="17"/>
        <v>36</v>
      </c>
    </row>
    <row r="204" spans="2:9" x14ac:dyDescent="0.35">
      <c r="B204" s="1" t="s">
        <v>160</v>
      </c>
      <c r="C204" s="1"/>
      <c r="D204" t="str">
        <f t="shared" si="16"/>
        <v>g91476</v>
      </c>
      <c r="E204" s="1" t="str">
        <f t="shared" si="15"/>
        <v>DOGFISH HEAD 60 MIN IPA 4/6 NR</v>
      </c>
      <c r="F204" s="1" t="str">
        <f t="shared" si="18"/>
        <v>12OZ</v>
      </c>
      <c r="G204" s="3"/>
      <c r="H204" s="4">
        <f t="shared" si="19"/>
        <v>39</v>
      </c>
      <c r="I204">
        <f t="shared" si="17"/>
        <v>44</v>
      </c>
    </row>
    <row r="205" spans="2:9" x14ac:dyDescent="0.35">
      <c r="B205" s="1" t="s">
        <v>393</v>
      </c>
      <c r="C205" s="1"/>
      <c r="D205" t="str">
        <f t="shared" si="16"/>
        <v>h30142</v>
      </c>
      <c r="E205" s="1" t="str">
        <f t="shared" si="15"/>
        <v>AUSTIN CIDER BLOOD ORANGE  4/6</v>
      </c>
      <c r="F205" s="1" t="str">
        <f t="shared" si="18"/>
        <v>12.OZ</v>
      </c>
      <c r="G205" s="3"/>
      <c r="H205" s="4">
        <f t="shared" si="19"/>
        <v>39</v>
      </c>
      <c r="I205">
        <f t="shared" si="17"/>
        <v>46</v>
      </c>
    </row>
    <row r="206" spans="2:9" x14ac:dyDescent="0.35">
      <c r="B206" s="1" t="s">
        <v>161</v>
      </c>
      <c r="C206" s="1"/>
      <c r="D206" t="str">
        <f t="shared" si="16"/>
        <v>i21045</v>
      </c>
      <c r="E206" s="1" t="str">
        <f t="shared" si="15"/>
        <v>KENTUCKY GENTLEMAN</v>
      </c>
      <c r="F206" s="1" t="str">
        <f t="shared" si="18"/>
        <v>750ML</v>
      </c>
      <c r="G206" s="3"/>
      <c r="H206" s="4">
        <f t="shared" si="19"/>
        <v>27</v>
      </c>
      <c r="I206">
        <f t="shared" si="17"/>
        <v>33</v>
      </c>
    </row>
    <row r="207" spans="2:9" x14ac:dyDescent="0.35">
      <c r="B207" s="1" t="s">
        <v>162</v>
      </c>
      <c r="C207" s="1"/>
      <c r="D207" t="str">
        <f t="shared" si="16"/>
        <v>j93594</v>
      </c>
      <c r="E207" s="1" t="str">
        <f t="shared" si="15"/>
        <v>MIKES HARD MANGO 4/6 NR</v>
      </c>
      <c r="F207" s="1" t="str">
        <f t="shared" si="18"/>
        <v>11.2OZ</v>
      </c>
      <c r="G207" s="3"/>
      <c r="H207" s="4">
        <f t="shared" si="19"/>
        <v>32</v>
      </c>
      <c r="I207">
        <f t="shared" si="17"/>
        <v>39</v>
      </c>
    </row>
    <row r="208" spans="2:9" x14ac:dyDescent="0.35">
      <c r="B208" s="1" t="s">
        <v>163</v>
      </c>
      <c r="C208" s="1"/>
      <c r="D208" t="str">
        <f t="shared" si="16"/>
        <v>k73701</v>
      </c>
      <c r="E208" s="1" t="str">
        <f t="shared" si="15"/>
        <v>EL TRACTOR MAL</v>
      </c>
      <c r="F208" s="1" t="str">
        <f t="shared" si="18"/>
        <v>750ML</v>
      </c>
      <c r="G208" s="3"/>
      <c r="H208" s="4">
        <f t="shared" si="19"/>
        <v>23</v>
      </c>
      <c r="I208">
        <f t="shared" si="17"/>
        <v>29</v>
      </c>
    </row>
    <row r="209" spans="2:9" x14ac:dyDescent="0.35">
      <c r="B209" s="1" t="s">
        <v>348</v>
      </c>
      <c r="C209" s="1"/>
      <c r="D209" t="str">
        <f t="shared" si="16"/>
        <v>l53243</v>
      </c>
      <c r="E209" s="1" t="str">
        <f t="shared" si="15"/>
        <v>GUINNESS MILK STOUT 4/6PK</v>
      </c>
      <c r="F209" s="1" t="str">
        <f t="shared" si="18"/>
        <v>36OZ</v>
      </c>
      <c r="G209" s="3"/>
      <c r="H209" s="4">
        <f t="shared" si="19"/>
        <v>34</v>
      </c>
      <c r="I209">
        <f t="shared" si="17"/>
        <v>39</v>
      </c>
    </row>
    <row r="210" spans="2:9" x14ac:dyDescent="0.35">
      <c r="B210" s="1" t="s">
        <v>164</v>
      </c>
      <c r="C210" s="1"/>
      <c r="D210" t="str">
        <f t="shared" si="16"/>
        <v>m81222</v>
      </c>
      <c r="E210" s="1" t="str">
        <f t="shared" si="15"/>
        <v>MILLER LITE  HIGH GRAPHIC LOOSE NR</v>
      </c>
      <c r="F210" s="1" t="str">
        <f t="shared" si="18"/>
        <v>12OZ</v>
      </c>
      <c r="G210" s="3"/>
      <c r="H210" s="4">
        <f t="shared" si="19"/>
        <v>43</v>
      </c>
      <c r="I210">
        <f t="shared" si="17"/>
        <v>48</v>
      </c>
    </row>
    <row r="211" spans="2:9" x14ac:dyDescent="0.35">
      <c r="B211" s="1" t="s">
        <v>302</v>
      </c>
      <c r="C211" s="1"/>
      <c r="D211" t="str">
        <f t="shared" si="16"/>
        <v>n55285</v>
      </c>
      <c r="E211" s="1" t="str">
        <f t="shared" si="15"/>
        <v>MODELO ESPECIAL SUITCASE S</v>
      </c>
      <c r="F211" s="1" t="str">
        <f t="shared" si="18"/>
        <v>12OZ</v>
      </c>
      <c r="G211" s="3"/>
      <c r="H211" s="4">
        <f t="shared" si="19"/>
        <v>35</v>
      </c>
      <c r="I211">
        <f t="shared" si="17"/>
        <v>40</v>
      </c>
    </row>
    <row r="212" spans="2:9" x14ac:dyDescent="0.35">
      <c r="B212" s="1" t="s">
        <v>165</v>
      </c>
      <c r="C212" s="1"/>
      <c r="D212" t="str">
        <f t="shared" si="16"/>
        <v>o33479</v>
      </c>
      <c r="E212" s="1" t="str">
        <f t="shared" si="15"/>
        <v>RUMPLE MINZE SCHNAPPS 100</v>
      </c>
      <c r="F212" s="1" t="str">
        <f t="shared" si="18"/>
        <v>1L</v>
      </c>
      <c r="G212" s="3"/>
      <c r="H212" s="4">
        <f t="shared" si="19"/>
        <v>34</v>
      </c>
      <c r="I212">
        <f t="shared" si="17"/>
        <v>37</v>
      </c>
    </row>
    <row r="213" spans="2:9" x14ac:dyDescent="0.35">
      <c r="B213" s="1" t="s">
        <v>166</v>
      </c>
      <c r="C213" s="1"/>
      <c r="D213" t="str">
        <f t="shared" si="16"/>
        <v>p85877</v>
      </c>
      <c r="E213" s="1" t="str">
        <f t="shared" si="15"/>
        <v>CH PARADIS ROSE 17</v>
      </c>
      <c r="F213" s="1" t="str">
        <f t="shared" si="18"/>
        <v>750ML</v>
      </c>
      <c r="G213" s="3"/>
      <c r="H213" s="4">
        <f t="shared" si="19"/>
        <v>27</v>
      </c>
      <c r="I213">
        <f t="shared" si="17"/>
        <v>33</v>
      </c>
    </row>
    <row r="214" spans="2:9" x14ac:dyDescent="0.35">
      <c r="B214" s="1" t="s">
        <v>167</v>
      </c>
      <c r="C214" s="1"/>
      <c r="D214" t="str">
        <f t="shared" si="16"/>
        <v>q98678</v>
      </c>
      <c r="E214" s="1" t="str">
        <f t="shared" si="15"/>
        <v>EVOLUTION LOT #3 IPA  4/6NR</v>
      </c>
      <c r="F214" s="1" t="str">
        <f t="shared" si="18"/>
        <v>12OZ</v>
      </c>
      <c r="G214" s="3"/>
      <c r="H214" s="4">
        <f t="shared" si="19"/>
        <v>36</v>
      </c>
      <c r="I214">
        <f t="shared" si="17"/>
        <v>41</v>
      </c>
    </row>
    <row r="215" spans="2:9" x14ac:dyDescent="0.35">
      <c r="B215" s="1" t="s">
        <v>303</v>
      </c>
      <c r="C215" s="1"/>
      <c r="D215" t="str">
        <f t="shared" si="16"/>
        <v>r11486</v>
      </c>
      <c r="E215" s="1" t="str">
        <f t="shared" si="15"/>
        <v>HEAVY SEAS LOOSE NON 4/6S</v>
      </c>
      <c r="F215" s="1" t="str">
        <f t="shared" si="18"/>
        <v>12OZ</v>
      </c>
      <c r="G215" s="3"/>
      <c r="H215" s="4">
        <f t="shared" si="19"/>
        <v>34</v>
      </c>
      <c r="I215">
        <f t="shared" si="17"/>
        <v>39</v>
      </c>
    </row>
    <row r="216" spans="2:9" x14ac:dyDescent="0.35">
      <c r="B216" s="1" t="s">
        <v>349</v>
      </c>
      <c r="C216" s="1"/>
      <c r="D216" t="str">
        <f t="shared" si="16"/>
        <v>s44598</v>
      </c>
      <c r="E216" s="1" t="str">
        <f t="shared" si="15"/>
        <v>OSKAR BLUES DALES PALE ALE 12.OZ 4/6</v>
      </c>
      <c r="F216" s="1" t="str">
        <f t="shared" si="18"/>
        <v>12OZ</v>
      </c>
      <c r="G216" s="3"/>
      <c r="H216" s="4">
        <f t="shared" si="19"/>
        <v>45</v>
      </c>
      <c r="I216">
        <f t="shared" si="17"/>
        <v>51</v>
      </c>
    </row>
    <row r="217" spans="2:9" x14ac:dyDescent="0.35">
      <c r="B217" s="1" t="s">
        <v>304</v>
      </c>
      <c r="C217" s="1"/>
      <c r="D217" t="str">
        <f t="shared" si="16"/>
        <v>t16198</v>
      </c>
      <c r="E217" s="1" t="str">
        <f t="shared" si="15"/>
        <v xml:space="preserve">COORS LT 18PK </v>
      </c>
      <c r="F217" s="1" t="str">
        <f t="shared" si="18"/>
        <v>12OZ</v>
      </c>
      <c r="G217" s="3"/>
      <c r="H217" s="4">
        <f t="shared" si="19"/>
        <v>23</v>
      </c>
      <c r="I217">
        <f t="shared" si="17"/>
        <v>28</v>
      </c>
    </row>
    <row r="218" spans="2:9" x14ac:dyDescent="0.35">
      <c r="B218" s="1" t="s">
        <v>350</v>
      </c>
      <c r="C218" s="1"/>
      <c r="D218" t="str">
        <f t="shared" si="16"/>
        <v>u55549</v>
      </c>
      <c r="E218" s="1" t="str">
        <f t="shared" si="15"/>
        <v>ANGRY ORCHARD CRISP APPLE 4/6 NR</v>
      </c>
      <c r="F218" s="1" t="str">
        <f t="shared" si="18"/>
        <v>48OZ</v>
      </c>
      <c r="G218" s="3"/>
      <c r="H218" s="4">
        <f t="shared" si="19"/>
        <v>41</v>
      </c>
      <c r="I218">
        <f t="shared" si="17"/>
        <v>46</v>
      </c>
    </row>
    <row r="219" spans="2:9" x14ac:dyDescent="0.35">
      <c r="B219" s="1" t="s">
        <v>305</v>
      </c>
      <c r="C219" s="1"/>
      <c r="D219" t="str">
        <f t="shared" si="16"/>
        <v>v56257</v>
      </c>
      <c r="E219" s="1" t="str">
        <f t="shared" si="15"/>
        <v xml:space="preserve">COORS LT 30PK </v>
      </c>
      <c r="F219" s="1" t="str">
        <f t="shared" si="18"/>
        <v>12OZ</v>
      </c>
      <c r="G219" s="3"/>
      <c r="H219" s="4">
        <f t="shared" si="19"/>
        <v>23</v>
      </c>
      <c r="I219">
        <f t="shared" si="17"/>
        <v>28</v>
      </c>
    </row>
    <row r="220" spans="2:9" x14ac:dyDescent="0.35">
      <c r="B220" s="1" t="s">
        <v>351</v>
      </c>
      <c r="C220" s="1"/>
      <c r="D220" t="str">
        <f t="shared" si="16"/>
        <v>w46507</v>
      </c>
      <c r="E220" s="1" t="str">
        <f t="shared" si="15"/>
        <v>ATLAS DANCE OF DAYS 4/6</v>
      </c>
      <c r="F220" s="1" t="str">
        <f t="shared" si="18"/>
        <v>16OZ</v>
      </c>
      <c r="G220" s="3"/>
      <c r="H220" s="4">
        <f t="shared" si="19"/>
        <v>32</v>
      </c>
      <c r="I220">
        <f t="shared" si="17"/>
        <v>37</v>
      </c>
    </row>
    <row r="221" spans="2:9" x14ac:dyDescent="0.35">
      <c r="B221" s="1" t="s">
        <v>306</v>
      </c>
      <c r="C221" s="1"/>
      <c r="D221" t="str">
        <f t="shared" si="16"/>
        <v>x69919</v>
      </c>
      <c r="E221" s="1" t="str">
        <f t="shared" si="15"/>
        <v>MILLER LITE BIG 18 PK S</v>
      </c>
      <c r="F221" s="1" t="str">
        <f t="shared" si="18"/>
        <v>16OZ</v>
      </c>
      <c r="G221" s="3"/>
      <c r="H221" s="4">
        <f t="shared" si="19"/>
        <v>32</v>
      </c>
      <c r="I221">
        <f t="shared" si="17"/>
        <v>37</v>
      </c>
    </row>
    <row r="222" spans="2:9" x14ac:dyDescent="0.35">
      <c r="B222" s="1" t="s">
        <v>307</v>
      </c>
      <c r="C222" s="1"/>
      <c r="D222" t="str">
        <f t="shared" si="16"/>
        <v>y71473</v>
      </c>
      <c r="E222" s="1" t="str">
        <f t="shared" si="15"/>
        <v>BUD 15/25OZ S</v>
      </c>
      <c r="F222" s="1" t="str">
        <f t="shared" si="18"/>
        <v>25OZ</v>
      </c>
      <c r="G222" s="3"/>
      <c r="H222" s="4">
        <f t="shared" si="19"/>
        <v>22</v>
      </c>
      <c r="I222">
        <f t="shared" si="17"/>
        <v>27</v>
      </c>
    </row>
    <row r="223" spans="2:9" x14ac:dyDescent="0.35">
      <c r="B223" s="1" t="s">
        <v>394</v>
      </c>
      <c r="C223" s="1"/>
      <c r="D223" t="str">
        <f t="shared" si="16"/>
        <v>z31337</v>
      </c>
      <c r="E223" s="1" t="str">
        <f t="shared" si="15"/>
        <v>KNOB CREEK BOURBON 9YR 100P</v>
      </c>
      <c r="F223" s="1" t="str">
        <f t="shared" si="18"/>
        <v>750ML</v>
      </c>
      <c r="G223" s="3"/>
      <c r="H223" s="4">
        <f t="shared" si="19"/>
        <v>36</v>
      </c>
      <c r="I223">
        <f t="shared" si="17"/>
        <v>42</v>
      </c>
    </row>
    <row r="224" spans="2:9" x14ac:dyDescent="0.35">
      <c r="B224" s="1" t="s">
        <v>168</v>
      </c>
      <c r="C224" s="1"/>
      <c r="D224" t="str">
        <f t="shared" si="16"/>
        <v>a68452</v>
      </c>
      <c r="E224" s="1" t="str">
        <f t="shared" si="15"/>
        <v>KIRALYUDVAR TOKAJI FURMINT SEC</v>
      </c>
      <c r="F224" s="1" t="str">
        <f t="shared" si="18"/>
        <v>750ML</v>
      </c>
      <c r="G224" s="3"/>
      <c r="H224" s="4">
        <f t="shared" si="19"/>
        <v>39</v>
      </c>
      <c r="I224">
        <f t="shared" si="17"/>
        <v>45</v>
      </c>
    </row>
    <row r="225" spans="2:9" x14ac:dyDescent="0.35">
      <c r="B225" s="1" t="s">
        <v>169</v>
      </c>
      <c r="C225" s="1"/>
      <c r="D225" t="str">
        <f t="shared" si="16"/>
        <v>a40264</v>
      </c>
      <c r="E225" s="1" t="str">
        <f t="shared" si="15"/>
        <v>R MONDAVI PR SEL MER</v>
      </c>
      <c r="F225" s="1" t="str">
        <f t="shared" si="18"/>
        <v>750ML</v>
      </c>
      <c r="G225" s="3"/>
      <c r="H225" s="4">
        <f t="shared" si="19"/>
        <v>29</v>
      </c>
      <c r="I225">
        <f t="shared" si="17"/>
        <v>35</v>
      </c>
    </row>
    <row r="226" spans="2:9" x14ac:dyDescent="0.35">
      <c r="B226" s="1" t="s">
        <v>170</v>
      </c>
      <c r="C226" s="1"/>
      <c r="D226" t="str">
        <f t="shared" si="16"/>
        <v>b45032</v>
      </c>
      <c r="E226" s="1" t="str">
        <f t="shared" si="15"/>
        <v>SANTA JULIA DULCE TINTO SWEET RED</v>
      </c>
      <c r="F226" s="1" t="str">
        <f t="shared" si="18"/>
        <v>750ML</v>
      </c>
      <c r="G226" s="3"/>
      <c r="H226" s="4">
        <f t="shared" si="19"/>
        <v>42</v>
      </c>
      <c r="I226">
        <f t="shared" si="17"/>
        <v>48</v>
      </c>
    </row>
    <row r="227" spans="2:9" x14ac:dyDescent="0.35">
      <c r="B227" s="1" t="s">
        <v>171</v>
      </c>
      <c r="C227" s="1"/>
      <c r="D227" t="str">
        <f t="shared" si="16"/>
        <v>c49072</v>
      </c>
      <c r="E227" s="1" t="str">
        <f t="shared" si="15"/>
        <v>ROLLING ROCK 18PK NR</v>
      </c>
      <c r="F227" s="1" t="str">
        <f t="shared" si="18"/>
        <v>12OZ</v>
      </c>
      <c r="G227" s="3"/>
      <c r="H227" s="4">
        <f t="shared" si="19"/>
        <v>29</v>
      </c>
      <c r="I227">
        <f t="shared" si="17"/>
        <v>34</v>
      </c>
    </row>
    <row r="228" spans="2:9" x14ac:dyDescent="0.35">
      <c r="B228" s="1" t="s">
        <v>352</v>
      </c>
      <c r="C228" s="1"/>
      <c r="D228" t="str">
        <f t="shared" si="16"/>
        <v>d82240</v>
      </c>
      <c r="E228" s="1" t="str">
        <f t="shared" si="15"/>
        <v>SMIRNOFF ICE SMASH CHERRY LIME</v>
      </c>
      <c r="F228" s="1" t="str">
        <f t="shared" si="18"/>
        <v>23.5 OZ</v>
      </c>
      <c r="G228" s="3"/>
      <c r="H228" s="4">
        <f t="shared" si="19"/>
        <v>39</v>
      </c>
      <c r="I228">
        <f t="shared" si="17"/>
        <v>48</v>
      </c>
    </row>
    <row r="229" spans="2:9" x14ac:dyDescent="0.35">
      <c r="B229" s="1" t="s">
        <v>172</v>
      </c>
      <c r="C229" s="1"/>
      <c r="D229" t="str">
        <f t="shared" si="16"/>
        <v>e82627</v>
      </c>
      <c r="E229" s="1" t="str">
        <f t="shared" si="15"/>
        <v>PRESIDENTIAL 10YR TAWNY PORT</v>
      </c>
      <c r="F229" s="1" t="str">
        <f t="shared" si="18"/>
        <v>750ML</v>
      </c>
      <c r="G229" s="3"/>
      <c r="H229" s="4">
        <f t="shared" si="19"/>
        <v>37</v>
      </c>
      <c r="I229">
        <f t="shared" si="17"/>
        <v>43</v>
      </c>
    </row>
    <row r="230" spans="2:9" x14ac:dyDescent="0.35">
      <c r="B230" s="1" t="s">
        <v>173</v>
      </c>
      <c r="C230" s="1"/>
      <c r="D230" t="str">
        <f t="shared" si="16"/>
        <v>f82486</v>
      </c>
      <c r="E230" s="1" t="str">
        <f t="shared" si="15"/>
        <v>LENZ MOSER GRUN VELT</v>
      </c>
      <c r="F230" s="1" t="str">
        <f t="shared" si="18"/>
        <v>1L</v>
      </c>
      <c r="G230" s="3"/>
      <c r="H230" s="4">
        <f t="shared" si="19"/>
        <v>29</v>
      </c>
      <c r="I230">
        <f t="shared" si="17"/>
        <v>32</v>
      </c>
    </row>
    <row r="231" spans="2:9" x14ac:dyDescent="0.35">
      <c r="B231" s="1" t="s">
        <v>308</v>
      </c>
      <c r="C231" s="1"/>
      <c r="D231" t="str">
        <f t="shared" si="16"/>
        <v>g46114</v>
      </c>
      <c r="E231" s="1" t="str">
        <f t="shared" si="15"/>
        <v xml:space="preserve">HEINEKEN LIGHT 2/12 FP </v>
      </c>
      <c r="F231" s="1" t="str">
        <f t="shared" si="18"/>
        <v>12OZ</v>
      </c>
      <c r="G231" s="3"/>
      <c r="H231" s="4">
        <f t="shared" si="19"/>
        <v>32</v>
      </c>
      <c r="I231">
        <f t="shared" si="17"/>
        <v>37</v>
      </c>
    </row>
    <row r="232" spans="2:9" x14ac:dyDescent="0.35">
      <c r="B232" s="1" t="s">
        <v>174</v>
      </c>
      <c r="C232" s="1"/>
      <c r="D232" t="str">
        <f t="shared" si="16"/>
        <v>h45483</v>
      </c>
      <c r="E232" s="1" t="str">
        <f t="shared" si="15"/>
        <v>FLYING DOG PALE ALE NR</v>
      </c>
      <c r="F232" s="1" t="str">
        <f t="shared" si="18"/>
        <v>12OZ</v>
      </c>
      <c r="G232" s="3"/>
      <c r="H232" s="4">
        <f t="shared" si="19"/>
        <v>31</v>
      </c>
      <c r="I232">
        <f t="shared" si="17"/>
        <v>36</v>
      </c>
    </row>
    <row r="233" spans="2:9" x14ac:dyDescent="0.35">
      <c r="B233" s="1" t="s">
        <v>309</v>
      </c>
      <c r="C233" s="1"/>
      <c r="D233" t="str">
        <f t="shared" si="16"/>
        <v>i34874</v>
      </c>
      <c r="E233" s="1" t="str">
        <f t="shared" si="15"/>
        <v>ICEHOUSE EDGE S 12/CS</v>
      </c>
      <c r="F233" s="1" t="str">
        <f t="shared" si="18"/>
        <v>24OZ</v>
      </c>
      <c r="G233" s="3"/>
      <c r="H233" s="4">
        <f t="shared" si="19"/>
        <v>30</v>
      </c>
      <c r="I233">
        <f t="shared" si="17"/>
        <v>35</v>
      </c>
    </row>
    <row r="234" spans="2:9" x14ac:dyDescent="0.35">
      <c r="B234" s="1" t="s">
        <v>175</v>
      </c>
      <c r="C234" s="1"/>
      <c r="D234" t="str">
        <f t="shared" si="16"/>
        <v>j49000</v>
      </c>
      <c r="E234" s="1" t="str">
        <f t="shared" si="15"/>
        <v>YALUMBA Y SERIES VIOG</v>
      </c>
      <c r="F234" s="1" t="str">
        <f t="shared" si="18"/>
        <v>750ML</v>
      </c>
      <c r="G234" s="3"/>
      <c r="H234" s="4">
        <f t="shared" si="19"/>
        <v>30</v>
      </c>
      <c r="I234">
        <f t="shared" si="17"/>
        <v>36</v>
      </c>
    </row>
    <row r="235" spans="2:9" x14ac:dyDescent="0.35">
      <c r="B235" s="1" t="s">
        <v>176</v>
      </c>
      <c r="C235" s="1"/>
      <c r="D235" t="str">
        <f t="shared" si="16"/>
        <v>k53705</v>
      </c>
      <c r="E235" s="1" t="str">
        <f t="shared" si="15"/>
        <v>CAPRICCIO WHITE SANGRI</v>
      </c>
      <c r="F235" s="1" t="str">
        <f t="shared" si="18"/>
        <v>750ML</v>
      </c>
      <c r="G235" s="3"/>
      <c r="H235" s="4">
        <f t="shared" si="19"/>
        <v>31</v>
      </c>
      <c r="I235">
        <f t="shared" si="17"/>
        <v>37</v>
      </c>
    </row>
    <row r="236" spans="2:9" x14ac:dyDescent="0.35">
      <c r="B236" s="1" t="s">
        <v>395</v>
      </c>
      <c r="C236" s="1"/>
      <c r="D236" t="str">
        <f t="shared" si="16"/>
        <v>l32801</v>
      </c>
      <c r="E236" s="1" t="str">
        <f t="shared" si="15"/>
        <v>DON Q RUM CRISTAL</v>
      </c>
      <c r="F236" s="1" t="str">
        <f t="shared" si="18"/>
        <v>1.75L</v>
      </c>
      <c r="G236" s="3"/>
      <c r="H236" s="4">
        <f t="shared" si="19"/>
        <v>26</v>
      </c>
      <c r="I236">
        <f t="shared" si="17"/>
        <v>32</v>
      </c>
    </row>
    <row r="237" spans="2:9" x14ac:dyDescent="0.35">
      <c r="B237" s="1" t="s">
        <v>177</v>
      </c>
      <c r="C237" s="1"/>
      <c r="D237" t="str">
        <f t="shared" si="16"/>
        <v>m38532</v>
      </c>
      <c r="E237" s="1" t="str">
        <f t="shared" si="15"/>
        <v>DEKUYPER LUSCIOUS PEACHTREE</v>
      </c>
      <c r="F237" s="1" t="str">
        <f t="shared" si="18"/>
        <v>1L</v>
      </c>
      <c r="G237" s="3"/>
      <c r="H237" s="4">
        <f t="shared" si="19"/>
        <v>36</v>
      </c>
      <c r="I237">
        <f t="shared" si="17"/>
        <v>39</v>
      </c>
    </row>
    <row r="238" spans="2:9" x14ac:dyDescent="0.35">
      <c r="B238" s="1" t="s">
        <v>178</v>
      </c>
      <c r="C238" s="1"/>
      <c r="D238" t="str">
        <f t="shared" si="16"/>
        <v>n26790</v>
      </c>
      <c r="E238" s="1" t="str">
        <f t="shared" si="15"/>
        <v>HEINEKEN LOOSE NR</v>
      </c>
      <c r="F238" s="1" t="str">
        <f t="shared" si="18"/>
        <v>12OZ</v>
      </c>
      <c r="G238" s="3"/>
      <c r="H238" s="4">
        <f t="shared" si="19"/>
        <v>26</v>
      </c>
      <c r="I238">
        <f t="shared" si="17"/>
        <v>31</v>
      </c>
    </row>
    <row r="239" spans="2:9" x14ac:dyDescent="0.35">
      <c r="B239" s="1" t="s">
        <v>179</v>
      </c>
      <c r="C239" s="1"/>
      <c r="D239" t="str">
        <f t="shared" si="16"/>
        <v>o14257</v>
      </c>
      <c r="E239" s="1" t="str">
        <f t="shared" si="15"/>
        <v>MODELO ESPECIAL 24 LOOSE NR</v>
      </c>
      <c r="F239" s="1" t="str">
        <f t="shared" si="18"/>
        <v>12OZ</v>
      </c>
      <c r="G239" s="3"/>
      <c r="H239" s="4">
        <f t="shared" si="19"/>
        <v>36</v>
      </c>
      <c r="I239">
        <f t="shared" si="17"/>
        <v>41</v>
      </c>
    </row>
    <row r="240" spans="2:9" x14ac:dyDescent="0.35">
      <c r="B240" s="1" t="s">
        <v>180</v>
      </c>
      <c r="C240" s="1"/>
      <c r="D240" t="str">
        <f t="shared" si="16"/>
        <v>p88899</v>
      </c>
      <c r="E240" s="1" t="str">
        <f t="shared" si="15"/>
        <v>STELLA ARTOIS 2/12 NR</v>
      </c>
      <c r="F240" s="1" t="str">
        <f t="shared" si="18"/>
        <v>11.2OZ</v>
      </c>
      <c r="G240" s="3"/>
      <c r="H240" s="4">
        <f t="shared" si="19"/>
        <v>30</v>
      </c>
      <c r="I240">
        <f t="shared" si="17"/>
        <v>37</v>
      </c>
    </row>
    <row r="241" spans="2:9" x14ac:dyDescent="0.35">
      <c r="B241" s="1" t="s">
        <v>181</v>
      </c>
      <c r="C241" s="1"/>
      <c r="D241" t="str">
        <f t="shared" si="16"/>
        <v>q46350</v>
      </c>
      <c r="E241" s="1" t="str">
        <f t="shared" si="15"/>
        <v>SIERRA NEVADA PALE ALE 2/12 NR</v>
      </c>
      <c r="F241" s="1" t="str">
        <f t="shared" si="18"/>
        <v>12OZ</v>
      </c>
      <c r="G241" s="3"/>
      <c r="H241" s="4">
        <f t="shared" si="19"/>
        <v>39</v>
      </c>
      <c r="I241">
        <f t="shared" si="17"/>
        <v>44</v>
      </c>
    </row>
    <row r="242" spans="2:9" x14ac:dyDescent="0.35">
      <c r="B242" s="1" t="s">
        <v>182</v>
      </c>
      <c r="C242" s="1"/>
      <c r="D242" t="str">
        <f t="shared" si="16"/>
        <v>r47575</v>
      </c>
      <c r="E242" s="1" t="str">
        <f t="shared" si="15"/>
        <v>NAKED TURTLE WHITE RUM</v>
      </c>
      <c r="F242" s="1" t="str">
        <f t="shared" si="18"/>
        <v>1L</v>
      </c>
      <c r="G242" s="3"/>
      <c r="H242" s="4">
        <f t="shared" si="19"/>
        <v>31</v>
      </c>
      <c r="I242">
        <f t="shared" si="17"/>
        <v>34</v>
      </c>
    </row>
    <row r="243" spans="2:9" x14ac:dyDescent="0.35">
      <c r="B243" s="1" t="s">
        <v>183</v>
      </c>
      <c r="C243" s="1"/>
      <c r="D243" t="str">
        <f t="shared" si="16"/>
        <v>s70226</v>
      </c>
      <c r="E243" s="1" t="str">
        <f t="shared" si="15"/>
        <v>HEINEKEN LOOSE NR</v>
      </c>
      <c r="F243" s="1" t="str">
        <f t="shared" si="18"/>
        <v>12OZ</v>
      </c>
      <c r="G243" s="3"/>
      <c r="H243" s="4">
        <f t="shared" si="19"/>
        <v>26</v>
      </c>
      <c r="I243">
        <f t="shared" si="17"/>
        <v>31</v>
      </c>
    </row>
    <row r="244" spans="2:9" x14ac:dyDescent="0.35">
      <c r="B244" s="1" t="s">
        <v>184</v>
      </c>
      <c r="C244" s="1"/>
      <c r="D244" t="str">
        <f t="shared" si="16"/>
        <v>t89559</v>
      </c>
      <c r="E244" s="1" t="str">
        <f t="shared" si="15"/>
        <v>MODELO ESPECIAL 24 LOOSE NR</v>
      </c>
      <c r="F244" s="1" t="str">
        <f t="shared" si="18"/>
        <v>12OZ</v>
      </c>
      <c r="G244" s="3"/>
      <c r="H244" s="4">
        <f t="shared" si="19"/>
        <v>36</v>
      </c>
      <c r="I244">
        <f t="shared" si="17"/>
        <v>41</v>
      </c>
    </row>
    <row r="245" spans="2:9" x14ac:dyDescent="0.35">
      <c r="B245" s="1" t="s">
        <v>185</v>
      </c>
      <c r="C245" s="1"/>
      <c r="D245" t="str">
        <f t="shared" si="16"/>
        <v>u99309</v>
      </c>
      <c r="E245" s="1" t="str">
        <f t="shared" si="15"/>
        <v>SMIRNOFF VODKA 100P</v>
      </c>
      <c r="F245" s="1" t="str">
        <f t="shared" si="18"/>
        <v>750ML</v>
      </c>
      <c r="G245" s="3"/>
      <c r="H245" s="4">
        <f t="shared" si="19"/>
        <v>28</v>
      </c>
      <c r="I245">
        <f t="shared" si="17"/>
        <v>34</v>
      </c>
    </row>
    <row r="246" spans="2:9" x14ac:dyDescent="0.35">
      <c r="B246" s="1" t="s">
        <v>186</v>
      </c>
      <c r="C246" s="1"/>
      <c r="D246" t="str">
        <f t="shared" si="16"/>
        <v>v37030</v>
      </c>
      <c r="E246" s="1" t="str">
        <f t="shared" si="15"/>
        <v>AMSTEL LIGHT 4/6 NR</v>
      </c>
      <c r="F246" s="1" t="str">
        <f t="shared" si="18"/>
        <v>12OZ</v>
      </c>
      <c r="G246" s="3"/>
      <c r="H246" s="4">
        <f t="shared" si="19"/>
        <v>28</v>
      </c>
      <c r="I246">
        <f t="shared" si="17"/>
        <v>33</v>
      </c>
    </row>
    <row r="247" spans="2:9" x14ac:dyDescent="0.35">
      <c r="B247" s="1" t="s">
        <v>310</v>
      </c>
      <c r="C247" s="1"/>
      <c r="D247" t="str">
        <f t="shared" si="16"/>
        <v>w66375</v>
      </c>
      <c r="E247" s="1" t="str">
        <f t="shared" si="15"/>
        <v xml:space="preserve">MILLER LITE 30PK </v>
      </c>
      <c r="F247" s="1" t="str">
        <f t="shared" si="18"/>
        <v>12OZ</v>
      </c>
      <c r="G247" s="3"/>
      <c r="H247" s="4">
        <f t="shared" si="19"/>
        <v>26</v>
      </c>
      <c r="I247">
        <f t="shared" si="17"/>
        <v>31</v>
      </c>
    </row>
    <row r="248" spans="2:9" x14ac:dyDescent="0.35">
      <c r="B248" s="1" t="s">
        <v>187</v>
      </c>
      <c r="C248" s="1"/>
      <c r="D248" t="str">
        <f t="shared" si="16"/>
        <v>x49616</v>
      </c>
      <c r="E248" s="1" t="str">
        <f t="shared" si="15"/>
        <v>MILLER LITE 2/12 LNNR</v>
      </c>
      <c r="F248" s="1" t="str">
        <f t="shared" si="18"/>
        <v>12OZ</v>
      </c>
      <c r="G248" s="3"/>
      <c r="H248" s="4">
        <f t="shared" si="19"/>
        <v>30</v>
      </c>
      <c r="I248">
        <f t="shared" si="17"/>
        <v>35</v>
      </c>
    </row>
    <row r="249" spans="2:9" x14ac:dyDescent="0.35">
      <c r="B249" s="1" t="s">
        <v>188</v>
      </c>
      <c r="C249" s="1"/>
      <c r="D249" t="str">
        <f t="shared" si="16"/>
        <v>y38367</v>
      </c>
      <c r="E249" s="1" t="str">
        <f t="shared" si="15"/>
        <v>CARLSBERG ELEPHANT 4/6 NR</v>
      </c>
      <c r="F249" s="1" t="str">
        <f t="shared" si="18"/>
        <v>12OZ</v>
      </c>
      <c r="G249" s="3"/>
      <c r="H249" s="4">
        <f t="shared" si="19"/>
        <v>34</v>
      </c>
      <c r="I249">
        <f t="shared" si="17"/>
        <v>39</v>
      </c>
    </row>
    <row r="250" spans="2:9" x14ac:dyDescent="0.35">
      <c r="B250" s="1" t="s">
        <v>189</v>
      </c>
      <c r="C250" s="1"/>
      <c r="D250" t="str">
        <f t="shared" si="16"/>
        <v>z19532</v>
      </c>
      <c r="E250" s="1" t="str">
        <f t="shared" si="15"/>
        <v>COORS LT 4/6 LNNR</v>
      </c>
      <c r="F250" s="1" t="str">
        <f t="shared" si="18"/>
        <v>12OZ</v>
      </c>
      <c r="G250" s="3"/>
      <c r="H250" s="4">
        <f t="shared" si="19"/>
        <v>26</v>
      </c>
      <c r="I250">
        <f t="shared" si="17"/>
        <v>31</v>
      </c>
    </row>
    <row r="251" spans="2:9" x14ac:dyDescent="0.35">
      <c r="B251" s="1" t="s">
        <v>353</v>
      </c>
      <c r="C251" s="1"/>
      <c r="D251" t="str">
        <f t="shared" si="16"/>
        <v>a52173</v>
      </c>
      <c r="E251" s="1" t="str">
        <f t="shared" si="15"/>
        <v xml:space="preserve">CORONA EXTRA 18PK </v>
      </c>
      <c r="F251" s="1" t="str">
        <f t="shared" si="18"/>
        <v>12OZ</v>
      </c>
      <c r="G251" s="3"/>
      <c r="H251" s="4">
        <f t="shared" si="19"/>
        <v>27</v>
      </c>
      <c r="I251">
        <f t="shared" si="17"/>
        <v>32</v>
      </c>
    </row>
    <row r="252" spans="2:9" x14ac:dyDescent="0.35">
      <c r="B252" s="1" t="s">
        <v>354</v>
      </c>
      <c r="C252" s="1"/>
      <c r="D252" t="str">
        <f t="shared" si="16"/>
        <v>b97646</v>
      </c>
      <c r="E252" s="1" t="str">
        <f t="shared" si="15"/>
        <v>BUD LIGHT 30PK</v>
      </c>
      <c r="F252" s="1" t="str">
        <f t="shared" si="18"/>
        <v>24OZ</v>
      </c>
      <c r="G252" s="3"/>
      <c r="H252" s="4">
        <f t="shared" si="19"/>
        <v>23</v>
      </c>
      <c r="I252">
        <f t="shared" si="17"/>
        <v>28</v>
      </c>
    </row>
    <row r="253" spans="2:9" x14ac:dyDescent="0.35">
      <c r="B253" s="1" t="s">
        <v>190</v>
      </c>
      <c r="C253" s="1"/>
      <c r="D253" t="str">
        <f t="shared" si="16"/>
        <v>c45191</v>
      </c>
      <c r="E253" s="1" t="str">
        <f t="shared" si="15"/>
        <v>BULLEIT RYE WHISKEY</v>
      </c>
      <c r="F253" s="1" t="str">
        <f t="shared" si="18"/>
        <v>750ML</v>
      </c>
      <c r="G253" s="3"/>
      <c r="H253" s="4">
        <f t="shared" si="19"/>
        <v>28</v>
      </c>
      <c r="I253">
        <f t="shared" si="17"/>
        <v>34</v>
      </c>
    </row>
    <row r="254" spans="2:9" x14ac:dyDescent="0.35">
      <c r="B254" s="1" t="s">
        <v>191</v>
      </c>
      <c r="C254" s="1"/>
      <c r="D254" t="str">
        <f t="shared" si="16"/>
        <v>d64800</v>
      </c>
      <c r="E254" s="1" t="str">
        <f t="shared" si="15"/>
        <v>YUENGLING LAGER 2/12 NR</v>
      </c>
      <c r="F254" s="1" t="str">
        <f t="shared" si="18"/>
        <v>12OZ</v>
      </c>
      <c r="G254" s="3"/>
      <c r="H254" s="4">
        <f t="shared" si="19"/>
        <v>32</v>
      </c>
      <c r="I254">
        <f t="shared" si="17"/>
        <v>37</v>
      </c>
    </row>
    <row r="255" spans="2:9" x14ac:dyDescent="0.35">
      <c r="B255" s="1" t="s">
        <v>192</v>
      </c>
      <c r="C255" s="1"/>
      <c r="D255" t="str">
        <f t="shared" si="16"/>
        <v>e67385</v>
      </c>
      <c r="E255" s="1" t="str">
        <f t="shared" si="15"/>
        <v>HEINEKEN 18PK NR</v>
      </c>
      <c r="F255" s="1" t="str">
        <f t="shared" si="18"/>
        <v>12OZ</v>
      </c>
      <c r="G255" s="3"/>
      <c r="H255" s="4">
        <f t="shared" si="19"/>
        <v>25</v>
      </c>
      <c r="I255">
        <f t="shared" si="17"/>
        <v>30</v>
      </c>
    </row>
    <row r="256" spans="2:9" x14ac:dyDescent="0.35">
      <c r="B256" s="1" t="s">
        <v>355</v>
      </c>
      <c r="C256" s="1"/>
      <c r="D256" t="str">
        <f t="shared" si="16"/>
        <v>f57543</v>
      </c>
      <c r="E256" s="1" t="str">
        <f t="shared" si="15"/>
        <v>NATTY DADDY 15</v>
      </c>
      <c r="F256" s="1" t="str">
        <f t="shared" si="18"/>
        <v>25OZ</v>
      </c>
      <c r="G256" s="3"/>
      <c r="H256" s="4">
        <f t="shared" si="19"/>
        <v>23</v>
      </c>
      <c r="I256">
        <f t="shared" si="17"/>
        <v>29</v>
      </c>
    </row>
    <row r="257" spans="2:9" x14ac:dyDescent="0.35">
      <c r="B257" s="1" t="s">
        <v>193</v>
      </c>
      <c r="C257" s="1"/>
      <c r="D257" t="str">
        <f t="shared" si="16"/>
        <v>g48770</v>
      </c>
      <c r="E257" s="1" t="str">
        <f t="shared" si="15"/>
        <v>STELLA ARTOIS 4/6 NR</v>
      </c>
      <c r="F257" s="1" t="str">
        <f t="shared" si="18"/>
        <v>11.2OZ</v>
      </c>
      <c r="G257" s="3"/>
      <c r="H257" s="4">
        <f t="shared" si="19"/>
        <v>29</v>
      </c>
      <c r="I257">
        <f t="shared" si="17"/>
        <v>36</v>
      </c>
    </row>
    <row r="258" spans="2:9" x14ac:dyDescent="0.35">
      <c r="B258" s="1" t="s">
        <v>194</v>
      </c>
      <c r="C258" s="1"/>
      <c r="D258" t="str">
        <f t="shared" si="16"/>
        <v>h28696</v>
      </c>
      <c r="E258" s="1" t="str">
        <f t="shared" si="15"/>
        <v>COPPER &amp; KINGS  BRANDY  &amp; OAK BARRELS</v>
      </c>
      <c r="F258" s="1" t="str">
        <f t="shared" si="18"/>
        <v>750ML</v>
      </c>
      <c r="G258" s="3"/>
      <c r="H258" s="4">
        <f t="shared" si="19"/>
        <v>46</v>
      </c>
      <c r="I258">
        <f t="shared" si="17"/>
        <v>52</v>
      </c>
    </row>
    <row r="259" spans="2:9" x14ac:dyDescent="0.35">
      <c r="B259" s="1" t="s">
        <v>195</v>
      </c>
      <c r="C259" s="1"/>
      <c r="D259" t="str">
        <f t="shared" si="16"/>
        <v>i37516</v>
      </c>
      <c r="E259" s="1" t="str">
        <f t="shared" si="15"/>
        <v>FOLEY ESTATES P/NOIR</v>
      </c>
      <c r="F259" s="1" t="str">
        <f t="shared" si="18"/>
        <v>750ML</v>
      </c>
      <c r="G259" s="3"/>
      <c r="H259" s="4">
        <f t="shared" si="19"/>
        <v>29</v>
      </c>
      <c r="I259">
        <f t="shared" si="17"/>
        <v>35</v>
      </c>
    </row>
    <row r="260" spans="2:9" x14ac:dyDescent="0.35">
      <c r="B260" s="1" t="s">
        <v>196</v>
      </c>
      <c r="C260" s="1"/>
      <c r="D260" t="str">
        <f t="shared" si="16"/>
        <v>j81985</v>
      </c>
      <c r="E260" s="1" t="str">
        <f t="shared" si="15"/>
        <v>MILLER LITE 2/12 LNNR</v>
      </c>
      <c r="F260" s="1" t="str">
        <f t="shared" si="18"/>
        <v>12OZ</v>
      </c>
      <c r="G260" s="3"/>
      <c r="H260" s="4">
        <f t="shared" si="19"/>
        <v>30</v>
      </c>
      <c r="I260">
        <f t="shared" si="17"/>
        <v>35</v>
      </c>
    </row>
    <row r="261" spans="2:9" x14ac:dyDescent="0.35">
      <c r="B261" s="1" t="s">
        <v>311</v>
      </c>
      <c r="C261" s="1"/>
      <c r="D261" t="str">
        <f t="shared" si="16"/>
        <v>k59648</v>
      </c>
      <c r="E261" s="1" t="str">
        <f t="shared" ref="E261:E324" si="20">MID(B261,8,H261-9)</f>
        <v xml:space="preserve">MILLER LITE 18PK </v>
      </c>
      <c r="F261" s="1" t="str">
        <f t="shared" si="18"/>
        <v>12OZ</v>
      </c>
      <c r="G261" s="3"/>
      <c r="H261" s="4">
        <f t="shared" si="19"/>
        <v>26</v>
      </c>
      <c r="I261">
        <f t="shared" si="17"/>
        <v>31</v>
      </c>
    </row>
    <row r="262" spans="2:9" x14ac:dyDescent="0.35">
      <c r="B262" s="1" t="s">
        <v>396</v>
      </c>
      <c r="C262" s="1"/>
      <c r="D262" t="str">
        <f t="shared" ref="D262:D325" si="21">LEFT(B262,6)</f>
        <v>l96929</v>
      </c>
      <c r="E262" s="1" t="str">
        <f t="shared" si="20"/>
        <v>RITAS LIME A RITA 15/25OZ</v>
      </c>
      <c r="F262" s="1" t="str">
        <f t="shared" si="18"/>
        <v>25OZ</v>
      </c>
      <c r="G262" s="3"/>
      <c r="H262" s="4">
        <f t="shared" si="19"/>
        <v>34</v>
      </c>
      <c r="I262">
        <f t="shared" ref="I262:I325" si="22">LEN(B262)</f>
        <v>39</v>
      </c>
    </row>
    <row r="263" spans="2:9" x14ac:dyDescent="0.35">
      <c r="B263" s="1" t="s">
        <v>197</v>
      </c>
      <c r="C263" s="1"/>
      <c r="D263" t="str">
        <f t="shared" si="21"/>
        <v>m54498</v>
      </c>
      <c r="E263" s="1" t="str">
        <f t="shared" si="20"/>
        <v>TAVERNELLO BIANCO</v>
      </c>
      <c r="F263" s="1" t="str">
        <f t="shared" ref="F263:F326" si="23">TRIM(RIGHT(B263,I263-H263))</f>
        <v>750ML</v>
      </c>
      <c r="G263" s="3"/>
      <c r="H263" s="4">
        <f t="shared" ref="H263:H326" si="24">FIND("-",B263)</f>
        <v>26</v>
      </c>
      <c r="I263">
        <f t="shared" si="22"/>
        <v>32</v>
      </c>
    </row>
    <row r="264" spans="2:9" x14ac:dyDescent="0.35">
      <c r="B264" s="1" t="s">
        <v>198</v>
      </c>
      <c r="C264" s="1"/>
      <c r="D264" t="str">
        <f t="shared" si="21"/>
        <v>n39283</v>
      </c>
      <c r="E264" s="1" t="str">
        <f t="shared" si="20"/>
        <v>BUD LIGHT PLATINUM 2/12 NR</v>
      </c>
      <c r="F264" s="1" t="str">
        <f t="shared" si="23"/>
        <v>12OZ</v>
      </c>
      <c r="G264" s="3"/>
      <c r="H264" s="4">
        <f t="shared" si="24"/>
        <v>35</v>
      </c>
      <c r="I264">
        <f t="shared" si="22"/>
        <v>40</v>
      </c>
    </row>
    <row r="265" spans="2:9" x14ac:dyDescent="0.35">
      <c r="B265" s="1" t="s">
        <v>199</v>
      </c>
      <c r="C265" s="1"/>
      <c r="D265" t="str">
        <f t="shared" si="21"/>
        <v>o39614</v>
      </c>
      <c r="E265" s="1" t="str">
        <f t="shared" si="20"/>
        <v>DOS EQUIS LAGER 4/6 NR</v>
      </c>
      <c r="F265" s="1" t="str">
        <f t="shared" si="23"/>
        <v>12OZ</v>
      </c>
      <c r="G265" s="3"/>
      <c r="H265" s="4">
        <f t="shared" si="24"/>
        <v>31</v>
      </c>
      <c r="I265">
        <f t="shared" si="22"/>
        <v>36</v>
      </c>
    </row>
    <row r="266" spans="2:9" x14ac:dyDescent="0.35">
      <c r="B266" s="1" t="s">
        <v>200</v>
      </c>
      <c r="C266" s="1"/>
      <c r="D266" t="str">
        <f t="shared" si="21"/>
        <v>p47628</v>
      </c>
      <c r="E266" s="1" t="str">
        <f t="shared" si="20"/>
        <v>CK MONDAVI CHARD</v>
      </c>
      <c r="F266" s="1" t="str">
        <f t="shared" si="23"/>
        <v>1.5L</v>
      </c>
      <c r="G266" s="3"/>
      <c r="H266" s="4">
        <f t="shared" si="24"/>
        <v>25</v>
      </c>
      <c r="I266">
        <f t="shared" si="22"/>
        <v>30</v>
      </c>
    </row>
    <row r="267" spans="2:9" x14ac:dyDescent="0.35">
      <c r="B267" s="1" t="s">
        <v>375</v>
      </c>
      <c r="C267" s="1"/>
      <c r="D267" t="str">
        <f t="shared" si="21"/>
        <v>q41931</v>
      </c>
      <c r="E267" s="1" t="str">
        <f t="shared" si="20"/>
        <v>BUD LIGHT 18PK</v>
      </c>
      <c r="F267" s="1" t="str">
        <f t="shared" si="23"/>
        <v>12OZ</v>
      </c>
      <c r="G267" s="3"/>
      <c r="H267" s="4">
        <f t="shared" si="24"/>
        <v>23</v>
      </c>
      <c r="I267">
        <f t="shared" si="22"/>
        <v>29</v>
      </c>
    </row>
    <row r="268" spans="2:9" x14ac:dyDescent="0.35">
      <c r="B268" s="1" t="s">
        <v>201</v>
      </c>
      <c r="C268" s="1"/>
      <c r="D268" t="str">
        <f t="shared" si="21"/>
        <v>r14956</v>
      </c>
      <c r="E268" s="1" t="str">
        <f t="shared" si="20"/>
        <v>HENNESSY BLACK</v>
      </c>
      <c r="F268" s="1" t="str">
        <f t="shared" si="23"/>
        <v>750ML</v>
      </c>
      <c r="G268" s="3"/>
      <c r="H268" s="4">
        <f t="shared" si="24"/>
        <v>23</v>
      </c>
      <c r="I268">
        <f t="shared" si="22"/>
        <v>29</v>
      </c>
    </row>
    <row r="269" spans="2:9" x14ac:dyDescent="0.35">
      <c r="B269" s="1" t="s">
        <v>376</v>
      </c>
      <c r="C269" s="1"/>
      <c r="D269" t="str">
        <f t="shared" si="21"/>
        <v>s93178</v>
      </c>
      <c r="E269" s="1" t="str">
        <f t="shared" si="20"/>
        <v>BLUE MOON BELGIAN WHITE 2/15PK</v>
      </c>
      <c r="F269" s="1" t="str">
        <f t="shared" si="23"/>
        <v>12OZ</v>
      </c>
      <c r="G269" s="3"/>
      <c r="H269" s="4">
        <f t="shared" si="24"/>
        <v>39</v>
      </c>
      <c r="I269">
        <f t="shared" si="22"/>
        <v>45</v>
      </c>
    </row>
    <row r="270" spans="2:9" x14ac:dyDescent="0.35">
      <c r="B270" s="1" t="s">
        <v>312</v>
      </c>
      <c r="C270" s="1"/>
      <c r="D270" t="str">
        <f t="shared" si="21"/>
        <v>t97269</v>
      </c>
      <c r="E270" s="1" t="str">
        <f t="shared" si="20"/>
        <v xml:space="preserve">FOSTER LAGER 12/25.4OZ </v>
      </c>
      <c r="F270" s="1" t="str">
        <f t="shared" si="23"/>
        <v>25.4OZ</v>
      </c>
      <c r="G270" s="3"/>
      <c r="H270" s="4">
        <f t="shared" si="24"/>
        <v>32</v>
      </c>
      <c r="I270">
        <f t="shared" si="22"/>
        <v>39</v>
      </c>
    </row>
    <row r="271" spans="2:9" x14ac:dyDescent="0.35">
      <c r="B271" s="1" t="s">
        <v>313</v>
      </c>
      <c r="C271" s="1"/>
      <c r="D271" t="str">
        <f t="shared" si="21"/>
        <v>u28729</v>
      </c>
      <c r="E271" s="1" t="str">
        <f t="shared" si="20"/>
        <v xml:space="preserve">COORS LT 12/24OZ </v>
      </c>
      <c r="F271" s="1" t="str">
        <f t="shared" si="23"/>
        <v>24OZ</v>
      </c>
      <c r="G271" s="3"/>
      <c r="H271" s="4">
        <f t="shared" si="24"/>
        <v>26</v>
      </c>
      <c r="I271">
        <f t="shared" si="22"/>
        <v>31</v>
      </c>
    </row>
    <row r="272" spans="2:9" x14ac:dyDescent="0.35">
      <c r="B272" s="1" t="s">
        <v>202</v>
      </c>
      <c r="C272" s="1"/>
      <c r="D272" t="str">
        <f t="shared" si="21"/>
        <v>v29280</v>
      </c>
      <c r="E272" s="1" t="str">
        <f t="shared" si="20"/>
        <v>SAUZA HORNITOS PLATA</v>
      </c>
      <c r="F272" s="1" t="str">
        <f t="shared" si="23"/>
        <v>750ML</v>
      </c>
      <c r="G272" s="3"/>
      <c r="H272" s="4">
        <f t="shared" si="24"/>
        <v>29</v>
      </c>
      <c r="I272">
        <f t="shared" si="22"/>
        <v>35</v>
      </c>
    </row>
    <row r="273" spans="2:9" x14ac:dyDescent="0.35">
      <c r="B273" s="1" t="s">
        <v>397</v>
      </c>
      <c r="C273" s="1"/>
      <c r="D273" t="str">
        <f t="shared" si="21"/>
        <v>w46392</v>
      </c>
      <c r="E273" s="1" t="str">
        <f t="shared" si="20"/>
        <v>STOLICHNAYA VODKA ORANGE</v>
      </c>
      <c r="F273" s="1" t="str">
        <f t="shared" si="23"/>
        <v>1L</v>
      </c>
      <c r="G273" s="3"/>
      <c r="H273" s="4">
        <f t="shared" si="24"/>
        <v>33</v>
      </c>
      <c r="I273">
        <f t="shared" si="22"/>
        <v>36</v>
      </c>
    </row>
    <row r="274" spans="2:9" x14ac:dyDescent="0.35">
      <c r="B274" s="1" t="s">
        <v>314</v>
      </c>
      <c r="C274" s="1"/>
      <c r="D274" t="str">
        <f t="shared" si="21"/>
        <v>x88831</v>
      </c>
      <c r="E274" s="1" t="str">
        <f t="shared" si="20"/>
        <v xml:space="preserve">COORS LT 30PK </v>
      </c>
      <c r="F274" s="1" t="str">
        <f t="shared" si="23"/>
        <v>12OZ</v>
      </c>
      <c r="G274" s="3"/>
      <c r="H274" s="4">
        <f t="shared" si="24"/>
        <v>23</v>
      </c>
      <c r="I274">
        <f t="shared" si="22"/>
        <v>28</v>
      </c>
    </row>
    <row r="275" spans="2:9" x14ac:dyDescent="0.35">
      <c r="B275" s="1" t="s">
        <v>377</v>
      </c>
      <c r="C275" s="1"/>
      <c r="D275" t="str">
        <f t="shared" si="21"/>
        <v>y28670</v>
      </c>
      <c r="E275" s="1" t="str">
        <f t="shared" si="20"/>
        <v>BUD LIGHT 2/12</v>
      </c>
      <c r="F275" s="1" t="str">
        <f t="shared" si="23"/>
        <v>12OZ</v>
      </c>
      <c r="G275" s="3"/>
      <c r="H275" s="4">
        <f t="shared" si="24"/>
        <v>23</v>
      </c>
      <c r="I275">
        <f t="shared" si="22"/>
        <v>27</v>
      </c>
    </row>
    <row r="276" spans="2:9" x14ac:dyDescent="0.35">
      <c r="B276" s="1" t="s">
        <v>315</v>
      </c>
      <c r="C276" s="1"/>
      <c r="D276" t="str">
        <f t="shared" si="21"/>
        <v>z25180</v>
      </c>
      <c r="E276" s="1" t="str">
        <f t="shared" si="20"/>
        <v>MILWAUKEE BEST ICE S</v>
      </c>
      <c r="F276" s="1" t="str">
        <f t="shared" si="23"/>
        <v>24OZ</v>
      </c>
      <c r="G276" s="3"/>
      <c r="H276" s="4">
        <f t="shared" si="24"/>
        <v>29</v>
      </c>
      <c r="I276">
        <f t="shared" si="22"/>
        <v>34</v>
      </c>
    </row>
    <row r="277" spans="2:9" x14ac:dyDescent="0.35">
      <c r="B277" s="1" t="s">
        <v>203</v>
      </c>
      <c r="C277" s="1"/>
      <c r="D277" t="str">
        <f t="shared" si="21"/>
        <v>a22516</v>
      </c>
      <c r="E277" s="1" t="str">
        <f t="shared" si="20"/>
        <v>WOODBRIDGE RED BLEND GO PACK</v>
      </c>
      <c r="F277" s="1" t="str">
        <f t="shared" si="23"/>
        <v>500ML</v>
      </c>
      <c r="G277" s="3"/>
      <c r="H277" s="4">
        <f t="shared" si="24"/>
        <v>37</v>
      </c>
      <c r="I277">
        <f t="shared" si="22"/>
        <v>43</v>
      </c>
    </row>
    <row r="278" spans="2:9" x14ac:dyDescent="0.35">
      <c r="B278" s="1" t="s">
        <v>204</v>
      </c>
      <c r="C278" s="1"/>
      <c r="D278" t="str">
        <f t="shared" si="21"/>
        <v>b32114</v>
      </c>
      <c r="E278" s="1" t="str">
        <f t="shared" si="20"/>
        <v>CAMBRIA JULIAS BENCHBREAK P/NOIR</v>
      </c>
      <c r="F278" s="1" t="str">
        <f t="shared" si="23"/>
        <v>750ML</v>
      </c>
      <c r="G278" s="3"/>
      <c r="H278" s="4">
        <f t="shared" si="24"/>
        <v>41</v>
      </c>
      <c r="I278">
        <f t="shared" si="22"/>
        <v>47</v>
      </c>
    </row>
    <row r="279" spans="2:9" x14ac:dyDescent="0.35">
      <c r="B279" s="1" t="s">
        <v>205</v>
      </c>
      <c r="C279" s="1"/>
      <c r="D279" t="str">
        <f t="shared" si="21"/>
        <v>c94496</v>
      </c>
      <c r="E279" s="1" t="str">
        <f t="shared" si="20"/>
        <v>BLUE MOON BLGM WHTE ALE 2/12NR</v>
      </c>
      <c r="F279" s="1" t="str">
        <f t="shared" si="23"/>
        <v>12OZ</v>
      </c>
      <c r="G279" s="3"/>
      <c r="H279" s="4">
        <f t="shared" si="24"/>
        <v>39</v>
      </c>
      <c r="I279">
        <f t="shared" si="22"/>
        <v>44</v>
      </c>
    </row>
    <row r="280" spans="2:9" x14ac:dyDescent="0.35">
      <c r="B280" s="1" t="s">
        <v>206</v>
      </c>
      <c r="C280" s="1"/>
      <c r="D280" t="str">
        <f t="shared" si="21"/>
        <v>d64817</v>
      </c>
      <c r="E280" s="1" t="str">
        <f t="shared" si="20"/>
        <v>MILLER HIGH LIFE 18PK NR</v>
      </c>
      <c r="F280" s="1" t="str">
        <f t="shared" si="23"/>
        <v>12OZ</v>
      </c>
      <c r="G280" s="3"/>
      <c r="H280" s="4">
        <f t="shared" si="24"/>
        <v>33</v>
      </c>
      <c r="I280">
        <f t="shared" si="22"/>
        <v>38</v>
      </c>
    </row>
    <row r="281" spans="2:9" x14ac:dyDescent="0.35">
      <c r="B281" s="1" t="s">
        <v>207</v>
      </c>
      <c r="C281" s="1"/>
      <c r="D281" t="str">
        <f t="shared" si="21"/>
        <v>e10925</v>
      </c>
      <c r="E281" s="1" t="str">
        <f t="shared" si="20"/>
        <v>PRESIDENTE 4/6 NR</v>
      </c>
      <c r="F281" s="1" t="str">
        <f t="shared" si="23"/>
        <v>12OZ</v>
      </c>
      <c r="G281" s="3"/>
      <c r="H281" s="4">
        <f t="shared" si="24"/>
        <v>26</v>
      </c>
      <c r="I281">
        <f t="shared" si="22"/>
        <v>31</v>
      </c>
    </row>
    <row r="282" spans="2:9" x14ac:dyDescent="0.35">
      <c r="B282" s="1" t="s">
        <v>208</v>
      </c>
      <c r="C282" s="1"/>
      <c r="D282" t="str">
        <f t="shared" si="21"/>
        <v>f22433</v>
      </c>
      <c r="E282" s="1" t="str">
        <f t="shared" si="20"/>
        <v>CORONA EXTRA LOOSE NR</v>
      </c>
      <c r="F282" s="1" t="str">
        <f t="shared" si="23"/>
        <v>12OZ</v>
      </c>
      <c r="G282" s="3"/>
      <c r="H282" s="4">
        <f t="shared" si="24"/>
        <v>30</v>
      </c>
      <c r="I282">
        <f t="shared" si="22"/>
        <v>35</v>
      </c>
    </row>
    <row r="283" spans="2:9" x14ac:dyDescent="0.35">
      <c r="B283" s="1" t="s">
        <v>378</v>
      </c>
      <c r="C283" s="1"/>
      <c r="D283" t="str">
        <f t="shared" si="21"/>
        <v>g84647</v>
      </c>
      <c r="E283" s="1" t="str">
        <f t="shared" si="20"/>
        <v>CORONA PREMIER 2/12PK</v>
      </c>
      <c r="F283" s="1" t="str">
        <f t="shared" si="23"/>
        <v>12 OZ</v>
      </c>
      <c r="G283" s="3"/>
      <c r="H283" s="4">
        <f t="shared" si="24"/>
        <v>30</v>
      </c>
      <c r="I283">
        <f t="shared" si="22"/>
        <v>37</v>
      </c>
    </row>
    <row r="284" spans="2:9" x14ac:dyDescent="0.35">
      <c r="B284" s="1" t="s">
        <v>379</v>
      </c>
      <c r="C284" s="1"/>
      <c r="D284" t="str">
        <f t="shared" si="21"/>
        <v>h26067</v>
      </c>
      <c r="E284" s="1" t="str">
        <f t="shared" si="20"/>
        <v>BLUE MOON BELGIAN WHITE 2/15PK</v>
      </c>
      <c r="F284" s="1" t="str">
        <f t="shared" si="23"/>
        <v>12OZ</v>
      </c>
      <c r="G284" s="3"/>
      <c r="H284" s="4">
        <f t="shared" si="24"/>
        <v>39</v>
      </c>
      <c r="I284">
        <f t="shared" si="22"/>
        <v>44</v>
      </c>
    </row>
    <row r="285" spans="2:9" x14ac:dyDescent="0.35">
      <c r="B285" s="1" t="s">
        <v>209</v>
      </c>
      <c r="C285" s="1"/>
      <c r="D285" t="str">
        <f t="shared" si="21"/>
        <v>i33636</v>
      </c>
      <c r="E285" s="1" t="str">
        <f t="shared" si="20"/>
        <v>ESPOLON BLANCO TEQ</v>
      </c>
      <c r="F285" s="1" t="str">
        <f t="shared" si="23"/>
        <v>750ML</v>
      </c>
      <c r="G285" s="3"/>
      <c r="H285" s="4">
        <f t="shared" si="24"/>
        <v>27</v>
      </c>
      <c r="I285">
        <f t="shared" si="22"/>
        <v>33</v>
      </c>
    </row>
    <row r="286" spans="2:9" x14ac:dyDescent="0.35">
      <c r="B286" s="1" t="s">
        <v>210</v>
      </c>
      <c r="C286" s="1"/>
      <c r="D286" t="str">
        <f t="shared" si="21"/>
        <v>j68275</v>
      </c>
      <c r="E286" s="1" t="str">
        <f t="shared" si="20"/>
        <v>DOGFISH HEAD 60 MIN IPA 4/6 NR</v>
      </c>
      <c r="F286" s="1" t="str">
        <f t="shared" si="23"/>
        <v>12OZ</v>
      </c>
      <c r="G286" s="3"/>
      <c r="H286" s="4">
        <f t="shared" si="24"/>
        <v>39</v>
      </c>
      <c r="I286">
        <f t="shared" si="22"/>
        <v>44</v>
      </c>
    </row>
    <row r="287" spans="2:9" x14ac:dyDescent="0.35">
      <c r="B287" s="1" t="s">
        <v>380</v>
      </c>
      <c r="C287" s="1"/>
      <c r="D287" t="str">
        <f t="shared" si="21"/>
        <v>k70491</v>
      </c>
      <c r="E287" s="1" t="str">
        <f t="shared" si="20"/>
        <v>MIKES HARD LEMONADE VARIETY PACK 2/12PK</v>
      </c>
      <c r="F287" s="1" t="str">
        <f t="shared" si="23"/>
        <v>12OZ</v>
      </c>
      <c r="G287" s="3"/>
      <c r="H287" s="4">
        <f t="shared" si="24"/>
        <v>48</v>
      </c>
      <c r="I287">
        <f t="shared" si="22"/>
        <v>54</v>
      </c>
    </row>
    <row r="288" spans="2:9" x14ac:dyDescent="0.35">
      <c r="B288" s="1" t="s">
        <v>316</v>
      </c>
      <c r="C288" s="1"/>
      <c r="D288" t="str">
        <f t="shared" si="21"/>
        <v>l89926</v>
      </c>
      <c r="E288" s="1" t="str">
        <f t="shared" si="20"/>
        <v xml:space="preserve">SCHLITZ MALT 12/24OZ </v>
      </c>
      <c r="F288" s="1" t="str">
        <f t="shared" si="23"/>
        <v>24OZ</v>
      </c>
      <c r="G288" s="3"/>
      <c r="H288" s="4">
        <f t="shared" si="24"/>
        <v>30</v>
      </c>
      <c r="I288">
        <f t="shared" si="22"/>
        <v>35</v>
      </c>
    </row>
    <row r="289" spans="2:9" x14ac:dyDescent="0.35">
      <c r="B289" s="1" t="s">
        <v>211</v>
      </c>
      <c r="C289" s="1"/>
      <c r="D289" t="str">
        <f t="shared" si="21"/>
        <v>m58504</v>
      </c>
      <c r="E289" s="1" t="str">
        <f t="shared" si="20"/>
        <v>HEINEKEN LIGHT 2/12 NR</v>
      </c>
      <c r="F289" s="1" t="str">
        <f t="shared" si="23"/>
        <v>12OZ</v>
      </c>
      <c r="G289" s="3"/>
      <c r="H289" s="4">
        <f t="shared" si="24"/>
        <v>31</v>
      </c>
      <c r="I289">
        <f t="shared" si="22"/>
        <v>36</v>
      </c>
    </row>
    <row r="290" spans="2:9" x14ac:dyDescent="0.35">
      <c r="B290" s="1" t="s">
        <v>212</v>
      </c>
      <c r="C290" s="1"/>
      <c r="D290" t="str">
        <f t="shared" si="21"/>
        <v>n93935</v>
      </c>
      <c r="E290" s="1" t="str">
        <f t="shared" si="20"/>
        <v>GUINNESS DRAFT 4/6NR</v>
      </c>
      <c r="F290" s="1" t="str">
        <f t="shared" si="23"/>
        <v>11.2OZ</v>
      </c>
      <c r="G290" s="3"/>
      <c r="H290" s="4">
        <f t="shared" si="24"/>
        <v>29</v>
      </c>
      <c r="I290">
        <f t="shared" si="22"/>
        <v>36</v>
      </c>
    </row>
    <row r="291" spans="2:9" x14ac:dyDescent="0.35">
      <c r="B291" s="1" t="s">
        <v>398</v>
      </c>
      <c r="C291" s="1"/>
      <c r="D291" t="str">
        <f t="shared" si="21"/>
        <v>o76581</v>
      </c>
      <c r="E291" s="1" t="str">
        <f t="shared" si="20"/>
        <v>ARISTOCRAT RUM LIGHT</v>
      </c>
      <c r="F291" s="1" t="str">
        <f t="shared" si="23"/>
        <v>1L</v>
      </c>
      <c r="G291" s="3"/>
      <c r="H291" s="4">
        <f t="shared" si="24"/>
        <v>29</v>
      </c>
      <c r="I291">
        <f t="shared" si="22"/>
        <v>32</v>
      </c>
    </row>
    <row r="292" spans="2:9" x14ac:dyDescent="0.35">
      <c r="B292" s="1" t="s">
        <v>213</v>
      </c>
      <c r="C292" s="1"/>
      <c r="D292" t="str">
        <f t="shared" si="21"/>
        <v>p48120</v>
      </c>
      <c r="E292" s="1" t="str">
        <f t="shared" si="20"/>
        <v>FLYING FISH OCTOBERFISH 4/6NR</v>
      </c>
      <c r="F292" s="1" t="str">
        <f t="shared" si="23"/>
        <v>12OZ</v>
      </c>
      <c r="G292" s="3"/>
      <c r="H292" s="4">
        <f t="shared" si="24"/>
        <v>38</v>
      </c>
      <c r="I292">
        <f t="shared" si="22"/>
        <v>43</v>
      </c>
    </row>
    <row r="293" spans="2:9" x14ac:dyDescent="0.35">
      <c r="B293" s="1" t="s">
        <v>214</v>
      </c>
      <c r="C293" s="1"/>
      <c r="D293" t="str">
        <f t="shared" si="21"/>
        <v>q12738</v>
      </c>
      <c r="E293" s="1" t="str">
        <f t="shared" si="20"/>
        <v>CORONA EXTRA 18PK NR</v>
      </c>
      <c r="F293" s="1" t="str">
        <f t="shared" si="23"/>
        <v>12OZ</v>
      </c>
      <c r="G293" s="3"/>
      <c r="H293" s="4">
        <f t="shared" si="24"/>
        <v>29</v>
      </c>
      <c r="I293">
        <f t="shared" si="22"/>
        <v>34</v>
      </c>
    </row>
    <row r="294" spans="2:9" x14ac:dyDescent="0.35">
      <c r="B294" s="1" t="s">
        <v>215</v>
      </c>
      <c r="C294" s="1"/>
      <c r="D294" t="str">
        <f t="shared" si="21"/>
        <v>r45691</v>
      </c>
      <c r="E294" s="1" t="str">
        <f t="shared" si="20"/>
        <v>WYCLIFF CAL BRUT CHAMP</v>
      </c>
      <c r="F294" s="1" t="str">
        <f t="shared" si="23"/>
        <v>750ML</v>
      </c>
      <c r="G294" s="3"/>
      <c r="H294" s="4">
        <f t="shared" si="24"/>
        <v>31</v>
      </c>
      <c r="I294">
        <f t="shared" si="22"/>
        <v>37</v>
      </c>
    </row>
    <row r="295" spans="2:9" x14ac:dyDescent="0.35">
      <c r="B295" s="1" t="s">
        <v>216</v>
      </c>
      <c r="C295" s="1"/>
      <c r="D295" t="str">
        <f t="shared" si="21"/>
        <v>s27892</v>
      </c>
      <c r="E295" s="1" t="str">
        <f t="shared" si="20"/>
        <v>STOLICHNAYA VODKA</v>
      </c>
      <c r="F295" s="1" t="str">
        <f t="shared" si="23"/>
        <v>1L</v>
      </c>
      <c r="G295" s="3"/>
      <c r="H295" s="4">
        <f t="shared" si="24"/>
        <v>26</v>
      </c>
      <c r="I295">
        <f t="shared" si="22"/>
        <v>29</v>
      </c>
    </row>
    <row r="296" spans="2:9" x14ac:dyDescent="0.35">
      <c r="B296" s="1" t="s">
        <v>217</v>
      </c>
      <c r="C296" s="1"/>
      <c r="D296" t="str">
        <f t="shared" si="21"/>
        <v>t52658</v>
      </c>
      <c r="E296" s="1" t="str">
        <f t="shared" si="20"/>
        <v>CORONA EXTRA LOOSE NR</v>
      </c>
      <c r="F296" s="1" t="str">
        <f t="shared" si="23"/>
        <v>12OZ</v>
      </c>
      <c r="G296" s="3"/>
      <c r="H296" s="4">
        <f t="shared" si="24"/>
        <v>30</v>
      </c>
      <c r="I296">
        <f t="shared" si="22"/>
        <v>35</v>
      </c>
    </row>
    <row r="297" spans="2:9" x14ac:dyDescent="0.35">
      <c r="B297" s="1" t="s">
        <v>218</v>
      </c>
      <c r="C297" s="1"/>
      <c r="D297" t="str">
        <f t="shared" si="21"/>
        <v>u67338</v>
      </c>
      <c r="E297" s="1" t="str">
        <f t="shared" si="20"/>
        <v>LUSTIG ZWEIGELT TROKEN</v>
      </c>
      <c r="F297" s="1" t="str">
        <f t="shared" si="23"/>
        <v>750ML</v>
      </c>
      <c r="G297" s="3"/>
      <c r="H297" s="4">
        <f t="shared" si="24"/>
        <v>31</v>
      </c>
      <c r="I297">
        <f t="shared" si="22"/>
        <v>37</v>
      </c>
    </row>
    <row r="298" spans="2:9" x14ac:dyDescent="0.35">
      <c r="B298" s="1" t="s">
        <v>219</v>
      </c>
      <c r="C298" s="1"/>
      <c r="D298" t="str">
        <f t="shared" si="21"/>
        <v>v68795</v>
      </c>
      <c r="E298" s="1" t="str">
        <f t="shared" si="20"/>
        <v>BUD 2/12 LNNR</v>
      </c>
      <c r="F298" s="1" t="str">
        <f t="shared" si="23"/>
        <v>12OZ</v>
      </c>
      <c r="G298" s="3"/>
      <c r="H298" s="4">
        <f t="shared" si="24"/>
        <v>22</v>
      </c>
      <c r="I298">
        <f t="shared" si="22"/>
        <v>27</v>
      </c>
    </row>
    <row r="299" spans="2:9" x14ac:dyDescent="0.35">
      <c r="B299" s="1" t="s">
        <v>220</v>
      </c>
      <c r="C299" s="1"/>
      <c r="D299" t="str">
        <f t="shared" si="21"/>
        <v>w64092</v>
      </c>
      <c r="E299" s="1" t="str">
        <f t="shared" si="20"/>
        <v>BULLEIT BOURBON</v>
      </c>
      <c r="F299" s="1" t="str">
        <f t="shared" si="23"/>
        <v>1.75L</v>
      </c>
      <c r="G299" s="3"/>
      <c r="H299" s="4">
        <f t="shared" si="24"/>
        <v>24</v>
      </c>
      <c r="I299">
        <f t="shared" si="22"/>
        <v>30</v>
      </c>
    </row>
    <row r="300" spans="2:9" x14ac:dyDescent="0.35">
      <c r="B300" s="1" t="s">
        <v>221</v>
      </c>
      <c r="C300" s="1"/>
      <c r="D300" t="str">
        <f t="shared" si="21"/>
        <v>x66754</v>
      </c>
      <c r="E300" s="1" t="str">
        <f t="shared" si="20"/>
        <v>FLYING DOG SNAKE DOG 4/6 NR</v>
      </c>
      <c r="F300" s="1" t="str">
        <f t="shared" si="23"/>
        <v>12OZ</v>
      </c>
      <c r="G300" s="3"/>
      <c r="H300" s="4">
        <f t="shared" si="24"/>
        <v>36</v>
      </c>
      <c r="I300">
        <f t="shared" si="22"/>
        <v>41</v>
      </c>
    </row>
    <row r="301" spans="2:9" x14ac:dyDescent="0.35">
      <c r="B301" s="1" t="s">
        <v>222</v>
      </c>
      <c r="C301" s="1"/>
      <c r="D301" t="str">
        <f t="shared" si="21"/>
        <v>y97397</v>
      </c>
      <c r="E301" s="1" t="str">
        <f t="shared" si="20"/>
        <v>FRONT PORCH MER</v>
      </c>
      <c r="F301" s="1" t="str">
        <f t="shared" si="23"/>
        <v>1.5L</v>
      </c>
      <c r="G301" s="3"/>
      <c r="H301" s="4">
        <f t="shared" si="24"/>
        <v>24</v>
      </c>
      <c r="I301">
        <f t="shared" si="22"/>
        <v>29</v>
      </c>
    </row>
    <row r="302" spans="2:9" x14ac:dyDescent="0.35">
      <c r="B302" s="1" t="s">
        <v>223</v>
      </c>
      <c r="C302" s="1"/>
      <c r="D302" t="str">
        <f t="shared" si="21"/>
        <v>z49958</v>
      </c>
      <c r="E302" s="1" t="str">
        <f t="shared" si="20"/>
        <v>WM HILL CENTRAL COAST CAB</v>
      </c>
      <c r="F302" s="1" t="str">
        <f t="shared" si="23"/>
        <v>750ML</v>
      </c>
      <c r="G302" s="3"/>
      <c r="H302" s="4">
        <f t="shared" si="24"/>
        <v>34</v>
      </c>
      <c r="I302">
        <f t="shared" si="22"/>
        <v>40</v>
      </c>
    </row>
    <row r="303" spans="2:9" x14ac:dyDescent="0.35">
      <c r="B303" s="1" t="s">
        <v>399</v>
      </c>
      <c r="C303" s="1"/>
      <c r="D303" t="str">
        <f t="shared" si="21"/>
        <v>a77877</v>
      </c>
      <c r="E303" s="1" t="str">
        <f t="shared" si="20"/>
        <v>RITAS CHERRY LIMEADE RITA 15</v>
      </c>
      <c r="F303" s="1" t="str">
        <f t="shared" si="23"/>
        <v>25OZ</v>
      </c>
      <c r="G303" s="3"/>
      <c r="H303" s="4">
        <f t="shared" si="24"/>
        <v>37</v>
      </c>
      <c r="I303">
        <f t="shared" si="22"/>
        <v>43</v>
      </c>
    </row>
    <row r="304" spans="2:9" x14ac:dyDescent="0.35">
      <c r="B304" s="1" t="s">
        <v>224</v>
      </c>
      <c r="C304" s="1"/>
      <c r="D304" t="str">
        <f t="shared" si="21"/>
        <v>a55807</v>
      </c>
      <c r="E304" s="1" t="str">
        <f t="shared" si="20"/>
        <v>BV CENTURY CELLARS MER</v>
      </c>
      <c r="F304" s="1" t="str">
        <f t="shared" si="23"/>
        <v>1.5L</v>
      </c>
      <c r="G304" s="3"/>
      <c r="H304" s="4">
        <f t="shared" si="24"/>
        <v>31</v>
      </c>
      <c r="I304">
        <f t="shared" si="22"/>
        <v>36</v>
      </c>
    </row>
    <row r="305" spans="2:9" x14ac:dyDescent="0.35">
      <c r="B305" s="1" t="s">
        <v>356</v>
      </c>
      <c r="C305" s="1"/>
      <c r="D305" t="str">
        <f t="shared" si="21"/>
        <v>b95206</v>
      </c>
      <c r="E305" s="1" t="str">
        <f t="shared" si="20"/>
        <v>GOOSE ISLAND IPA 2/15PK</v>
      </c>
      <c r="F305" s="1" t="str">
        <f t="shared" si="23"/>
        <v>12OZ</v>
      </c>
      <c r="G305" s="3"/>
      <c r="H305" s="4">
        <f t="shared" si="24"/>
        <v>32</v>
      </c>
      <c r="I305">
        <f t="shared" si="22"/>
        <v>37</v>
      </c>
    </row>
    <row r="306" spans="2:9" x14ac:dyDescent="0.35">
      <c r="B306" s="1" t="s">
        <v>400</v>
      </c>
      <c r="C306" s="1"/>
      <c r="D306" t="str">
        <f t="shared" si="21"/>
        <v>c33894</v>
      </c>
      <c r="E306" s="1" t="str">
        <f t="shared" si="20"/>
        <v>FLYING DOG NOTHING BUT A G THING HAZY PALE ALE 4/6</v>
      </c>
      <c r="F306" s="1" t="str">
        <f t="shared" si="23"/>
        <v>12OZ</v>
      </c>
      <c r="G306" s="3"/>
      <c r="H306" s="4">
        <f t="shared" si="24"/>
        <v>59</v>
      </c>
      <c r="I306">
        <f t="shared" si="22"/>
        <v>65</v>
      </c>
    </row>
    <row r="307" spans="2:9" x14ac:dyDescent="0.35">
      <c r="B307" s="1" t="s">
        <v>225</v>
      </c>
      <c r="C307" s="1"/>
      <c r="D307" t="str">
        <f t="shared" si="21"/>
        <v>d39848</v>
      </c>
      <c r="E307" s="1" t="str">
        <f t="shared" si="20"/>
        <v xml:space="preserve">MARTINI &amp; ROSSI SWEET VERMOUTH </v>
      </c>
      <c r="F307" s="1" t="str">
        <f t="shared" si="23"/>
        <v>LITER</v>
      </c>
      <c r="G307" s="3"/>
      <c r="H307" s="4">
        <f t="shared" si="24"/>
        <v>40</v>
      </c>
      <c r="I307">
        <f t="shared" si="22"/>
        <v>46</v>
      </c>
    </row>
    <row r="308" spans="2:9" x14ac:dyDescent="0.35">
      <c r="B308" s="1" t="s">
        <v>357</v>
      </c>
      <c r="C308" s="1"/>
      <c r="D308" t="str">
        <f t="shared" si="21"/>
        <v>e73074</v>
      </c>
      <c r="E308" s="1" t="str">
        <f t="shared" si="20"/>
        <v>DC BRAU JOINT RESOLUTION 4/6 S</v>
      </c>
      <c r="F308" s="1" t="str">
        <f t="shared" si="23"/>
        <v>12OZ</v>
      </c>
      <c r="G308" s="3"/>
      <c r="H308" s="4">
        <f t="shared" si="24"/>
        <v>39</v>
      </c>
      <c r="I308">
        <f t="shared" si="22"/>
        <v>44</v>
      </c>
    </row>
    <row r="309" spans="2:9" x14ac:dyDescent="0.35">
      <c r="B309" s="1" t="s">
        <v>226</v>
      </c>
      <c r="C309" s="1"/>
      <c r="D309" t="str">
        <f t="shared" si="21"/>
        <v>f19869</v>
      </c>
      <c r="E309" s="1" t="str">
        <f t="shared" si="20"/>
        <v>JOHNNIE WALKER RED</v>
      </c>
      <c r="F309" s="1" t="str">
        <f t="shared" si="23"/>
        <v>1.75L</v>
      </c>
      <c r="G309" s="3"/>
      <c r="H309" s="4">
        <f t="shared" si="24"/>
        <v>27</v>
      </c>
      <c r="I309">
        <f t="shared" si="22"/>
        <v>33</v>
      </c>
    </row>
    <row r="310" spans="2:9" x14ac:dyDescent="0.35">
      <c r="B310" s="1" t="s">
        <v>358</v>
      </c>
      <c r="C310" s="1"/>
      <c r="D310" t="str">
        <f t="shared" si="21"/>
        <v>g19019</v>
      </c>
      <c r="E310" s="1" t="str">
        <f t="shared" si="20"/>
        <v>WHITE CLAW MANGO 6/4</v>
      </c>
      <c r="F310" s="1" t="str">
        <f t="shared" si="23"/>
        <v>16OZ</v>
      </c>
      <c r="G310" s="3"/>
      <c r="H310" s="4">
        <f t="shared" si="24"/>
        <v>29</v>
      </c>
      <c r="I310">
        <f t="shared" si="22"/>
        <v>35</v>
      </c>
    </row>
    <row r="311" spans="2:9" x14ac:dyDescent="0.35">
      <c r="B311" s="1" t="s">
        <v>227</v>
      </c>
      <c r="C311" s="1"/>
      <c r="D311" t="str">
        <f t="shared" si="21"/>
        <v>h90213</v>
      </c>
      <c r="E311" s="1" t="str">
        <f t="shared" si="20"/>
        <v>WOODBRIDGE MER 24/C</v>
      </c>
      <c r="F311" s="1" t="str">
        <f t="shared" si="23"/>
        <v>187ML</v>
      </c>
      <c r="G311" s="3"/>
      <c r="H311" s="4">
        <f t="shared" si="24"/>
        <v>28</v>
      </c>
      <c r="I311">
        <f t="shared" si="22"/>
        <v>34</v>
      </c>
    </row>
    <row r="312" spans="2:9" x14ac:dyDescent="0.35">
      <c r="B312" s="1" t="s">
        <v>317</v>
      </c>
      <c r="C312" s="1"/>
      <c r="D312" t="str">
        <f t="shared" si="21"/>
        <v>i37536</v>
      </c>
      <c r="E312" s="1" t="str">
        <f t="shared" si="20"/>
        <v xml:space="preserve">BUD 18PK 16OZ </v>
      </c>
      <c r="F312" s="1" t="str">
        <f t="shared" si="23"/>
        <v>16OZ</v>
      </c>
      <c r="G312" s="3"/>
      <c r="H312" s="4">
        <f t="shared" si="24"/>
        <v>23</v>
      </c>
      <c r="I312">
        <f t="shared" si="22"/>
        <v>28</v>
      </c>
    </row>
    <row r="313" spans="2:9" x14ac:dyDescent="0.35">
      <c r="B313" s="1" t="s">
        <v>228</v>
      </c>
      <c r="C313" s="1"/>
      <c r="D313" t="str">
        <f t="shared" si="21"/>
        <v>j72792</v>
      </c>
      <c r="E313" s="1" t="str">
        <f t="shared" si="20"/>
        <v>LUJURIA MALB</v>
      </c>
      <c r="F313" s="1" t="str">
        <f t="shared" si="23"/>
        <v>750ML</v>
      </c>
      <c r="G313" s="3"/>
      <c r="H313" s="4">
        <f t="shared" si="24"/>
        <v>21</v>
      </c>
      <c r="I313">
        <f t="shared" si="22"/>
        <v>27</v>
      </c>
    </row>
    <row r="314" spans="2:9" x14ac:dyDescent="0.35">
      <c r="B314" s="1" t="s">
        <v>359</v>
      </c>
      <c r="C314" s="1"/>
      <c r="D314" t="str">
        <f t="shared" si="21"/>
        <v>k25213</v>
      </c>
      <c r="E314" s="1" t="str">
        <f t="shared" si="20"/>
        <v>DEVILS BACKBONE VARIETY MIX PACK 2/12 NR</v>
      </c>
      <c r="F314" s="1" t="str">
        <f t="shared" si="23"/>
        <v>24OZ</v>
      </c>
      <c r="G314" s="3"/>
      <c r="H314" s="4">
        <f t="shared" si="24"/>
        <v>49</v>
      </c>
      <c r="I314">
        <f t="shared" si="22"/>
        <v>54</v>
      </c>
    </row>
    <row r="315" spans="2:9" x14ac:dyDescent="0.35">
      <c r="B315" s="1" t="s">
        <v>229</v>
      </c>
      <c r="C315" s="1"/>
      <c r="D315" t="str">
        <f t="shared" si="21"/>
        <v>l57893</v>
      </c>
      <c r="E315" s="1" t="str">
        <f t="shared" si="20"/>
        <v>BAREFOOT CEL S/BLC</v>
      </c>
      <c r="F315" s="1" t="str">
        <f t="shared" si="23"/>
        <v>750ML</v>
      </c>
      <c r="G315" s="3"/>
      <c r="H315" s="4">
        <f t="shared" si="24"/>
        <v>27</v>
      </c>
      <c r="I315">
        <f t="shared" si="22"/>
        <v>33</v>
      </c>
    </row>
    <row r="316" spans="2:9" x14ac:dyDescent="0.35">
      <c r="B316" s="1" t="s">
        <v>360</v>
      </c>
      <c r="C316" s="1"/>
      <c r="D316" t="str">
        <f t="shared" si="21"/>
        <v>m61463</v>
      </c>
      <c r="E316" s="1" t="str">
        <f t="shared" si="20"/>
        <v>HEINEKEN  SUITCASE S 24</v>
      </c>
      <c r="F316" s="1" t="str">
        <f t="shared" si="23"/>
        <v>12OZ</v>
      </c>
      <c r="G316" s="3"/>
      <c r="H316" s="4">
        <f t="shared" si="24"/>
        <v>32</v>
      </c>
      <c r="I316">
        <f t="shared" si="22"/>
        <v>37</v>
      </c>
    </row>
    <row r="317" spans="2:9" x14ac:dyDescent="0.35">
      <c r="B317" s="1" t="s">
        <v>318</v>
      </c>
      <c r="C317" s="1"/>
      <c r="D317" t="str">
        <f t="shared" si="21"/>
        <v>n39138</v>
      </c>
      <c r="E317" s="1" t="str">
        <f t="shared" si="20"/>
        <v xml:space="preserve">BUSCH LT 30PK </v>
      </c>
      <c r="F317" s="1" t="str">
        <f t="shared" si="23"/>
        <v>12OZ</v>
      </c>
      <c r="G317" s="3"/>
      <c r="H317" s="4">
        <f t="shared" si="24"/>
        <v>23</v>
      </c>
      <c r="I317">
        <f t="shared" si="22"/>
        <v>28</v>
      </c>
    </row>
    <row r="318" spans="2:9" x14ac:dyDescent="0.35">
      <c r="B318" s="1" t="s">
        <v>230</v>
      </c>
      <c r="C318" s="1"/>
      <c r="D318" t="str">
        <f t="shared" si="21"/>
        <v>o39212</v>
      </c>
      <c r="E318" s="1" t="str">
        <f t="shared" si="20"/>
        <v>EVOLUTION LOT #3 IPA  4/6NR</v>
      </c>
      <c r="F318" s="1" t="str">
        <f t="shared" si="23"/>
        <v>12OZ</v>
      </c>
      <c r="G318" s="3"/>
      <c r="H318" s="4">
        <f t="shared" si="24"/>
        <v>36</v>
      </c>
      <c r="I318">
        <f t="shared" si="22"/>
        <v>41</v>
      </c>
    </row>
    <row r="319" spans="2:9" x14ac:dyDescent="0.35">
      <c r="B319" s="1" t="s">
        <v>231</v>
      </c>
      <c r="C319" s="1"/>
      <c r="D319" t="str">
        <f t="shared" si="21"/>
        <v>p16647</v>
      </c>
      <c r="E319" s="1" t="str">
        <f t="shared" si="20"/>
        <v>AUSTIN HOPE CAB</v>
      </c>
      <c r="F319" s="1" t="str">
        <f t="shared" si="23"/>
        <v>750ML</v>
      </c>
      <c r="G319" s="3"/>
      <c r="H319" s="4">
        <f t="shared" si="24"/>
        <v>24</v>
      </c>
      <c r="I319">
        <f t="shared" si="22"/>
        <v>30</v>
      </c>
    </row>
    <row r="320" spans="2:9" x14ac:dyDescent="0.35">
      <c r="B320" s="1" t="s">
        <v>401</v>
      </c>
      <c r="C320" s="1"/>
      <c r="D320" t="str">
        <f t="shared" si="21"/>
        <v>q78256</v>
      </c>
      <c r="E320" s="1" t="str">
        <f t="shared" si="20"/>
        <v>EVOLUTION VARIETY 2/12 NR</v>
      </c>
      <c r="F320" s="1" t="str">
        <f t="shared" si="23"/>
        <v>24OZ</v>
      </c>
      <c r="G320" s="3"/>
      <c r="H320" s="4">
        <f t="shared" si="24"/>
        <v>34</v>
      </c>
      <c r="I320">
        <f t="shared" si="22"/>
        <v>39</v>
      </c>
    </row>
    <row r="321" spans="2:9" x14ac:dyDescent="0.35">
      <c r="B321" s="1" t="s">
        <v>319</v>
      </c>
      <c r="C321" s="1"/>
      <c r="D321" t="str">
        <f t="shared" si="21"/>
        <v>r46574</v>
      </c>
      <c r="E321" s="1" t="str">
        <f t="shared" si="20"/>
        <v>MODELO ESPECIAL SUITCASE S</v>
      </c>
      <c r="F321" s="1" t="str">
        <f t="shared" si="23"/>
        <v>12OZ</v>
      </c>
      <c r="G321" s="3"/>
      <c r="H321" s="4">
        <f t="shared" si="24"/>
        <v>35</v>
      </c>
      <c r="I321">
        <f t="shared" si="22"/>
        <v>40</v>
      </c>
    </row>
    <row r="322" spans="2:9" x14ac:dyDescent="0.35">
      <c r="B322" s="1" t="s">
        <v>232</v>
      </c>
      <c r="C322" s="1"/>
      <c r="D322" t="str">
        <f t="shared" si="21"/>
        <v>s22990</v>
      </c>
      <c r="E322" s="1" t="str">
        <f t="shared" si="20"/>
        <v>CHARLES SMITH VELVET DEVIL MER</v>
      </c>
      <c r="F322" s="1" t="str">
        <f t="shared" si="23"/>
        <v>750ML</v>
      </c>
      <c r="G322" s="3"/>
      <c r="H322" s="4">
        <f t="shared" si="24"/>
        <v>39</v>
      </c>
      <c r="I322">
        <f t="shared" si="22"/>
        <v>45</v>
      </c>
    </row>
    <row r="323" spans="2:9" x14ac:dyDescent="0.35">
      <c r="B323" s="1" t="s">
        <v>233</v>
      </c>
      <c r="C323" s="1"/>
      <c r="D323" t="str">
        <f t="shared" si="21"/>
        <v>t61627</v>
      </c>
      <c r="E323" s="1" t="str">
        <f t="shared" si="20"/>
        <v>K JACKSON VINT RES CAB</v>
      </c>
      <c r="F323" s="1" t="str">
        <f t="shared" si="23"/>
        <v>750ML</v>
      </c>
      <c r="G323" s="3"/>
      <c r="H323" s="4">
        <f t="shared" si="24"/>
        <v>31</v>
      </c>
      <c r="I323">
        <f t="shared" si="22"/>
        <v>37</v>
      </c>
    </row>
    <row r="324" spans="2:9" x14ac:dyDescent="0.35">
      <c r="B324" s="1" t="s">
        <v>234</v>
      </c>
      <c r="C324" s="1"/>
      <c r="D324" t="str">
        <f t="shared" si="21"/>
        <v>u40608</v>
      </c>
      <c r="E324" s="1" t="str">
        <f t="shared" si="20"/>
        <v>BOMBAY GIN</v>
      </c>
      <c r="F324" s="1" t="str">
        <f t="shared" si="23"/>
        <v>1.75L</v>
      </c>
      <c r="G324" s="3"/>
      <c r="H324" s="4">
        <f t="shared" si="24"/>
        <v>19</v>
      </c>
      <c r="I324">
        <f t="shared" si="22"/>
        <v>25</v>
      </c>
    </row>
    <row r="325" spans="2:9" x14ac:dyDescent="0.35">
      <c r="B325" s="1" t="s">
        <v>320</v>
      </c>
      <c r="C325" s="1"/>
      <c r="D325" t="str">
        <f t="shared" si="21"/>
        <v>v40870</v>
      </c>
      <c r="E325" s="1" t="str">
        <f t="shared" ref="E325:E388" si="25">MID(B325,8,H325-9)</f>
        <v xml:space="preserve">BUD 30PK </v>
      </c>
      <c r="F325" s="1" t="str">
        <f t="shared" si="23"/>
        <v>12OZ</v>
      </c>
      <c r="G325" s="3"/>
      <c r="H325" s="4">
        <f t="shared" si="24"/>
        <v>18</v>
      </c>
      <c r="I325">
        <f t="shared" si="22"/>
        <v>23</v>
      </c>
    </row>
    <row r="326" spans="2:9" x14ac:dyDescent="0.35">
      <c r="B326" s="1" t="s">
        <v>235</v>
      </c>
      <c r="C326" s="1"/>
      <c r="D326" t="str">
        <f t="shared" ref="D326:D389" si="26">LEFT(B326,6)</f>
        <v>w96360</v>
      </c>
      <c r="E326" s="1" t="str">
        <f t="shared" si="25"/>
        <v>1800 SILVER TEQUILA</v>
      </c>
      <c r="F326" s="1" t="str">
        <f t="shared" si="23"/>
        <v>1.75L</v>
      </c>
      <c r="G326" s="3"/>
      <c r="H326" s="4">
        <f t="shared" si="24"/>
        <v>28</v>
      </c>
      <c r="I326">
        <f t="shared" ref="I326:I389" si="27">LEN(B326)</f>
        <v>34</v>
      </c>
    </row>
    <row r="327" spans="2:9" x14ac:dyDescent="0.35">
      <c r="B327" s="1" t="s">
        <v>361</v>
      </c>
      <c r="C327" s="1"/>
      <c r="D327" t="str">
        <f t="shared" si="26"/>
        <v>x91920</v>
      </c>
      <c r="E327" s="1" t="str">
        <f t="shared" si="25"/>
        <v>BUD LIGHT 2/12</v>
      </c>
      <c r="F327" s="1" t="str">
        <f t="shared" ref="F327:F390" si="28">TRIM(RIGHT(B327,I327-H327))</f>
        <v>24OZ</v>
      </c>
      <c r="G327" s="3"/>
      <c r="H327" s="4">
        <f t="shared" ref="H327:H386" si="29">FIND("-",B327)</f>
        <v>23</v>
      </c>
      <c r="I327">
        <f t="shared" si="27"/>
        <v>27</v>
      </c>
    </row>
    <row r="328" spans="2:9" x14ac:dyDescent="0.35">
      <c r="B328" s="1" t="s">
        <v>362</v>
      </c>
      <c r="C328" s="1"/>
      <c r="D328" t="str">
        <f t="shared" si="26"/>
        <v>y85434</v>
      </c>
      <c r="E328" s="1" t="str">
        <f t="shared" si="25"/>
        <v>CORONA FAMILIAR 2/12PK</v>
      </c>
      <c r="F328" s="1" t="str">
        <f t="shared" si="28"/>
        <v>12OZ</v>
      </c>
      <c r="G328" s="3"/>
      <c r="H328" s="4">
        <f t="shared" si="29"/>
        <v>31</v>
      </c>
      <c r="I328">
        <f t="shared" si="27"/>
        <v>37</v>
      </c>
    </row>
    <row r="329" spans="2:9" x14ac:dyDescent="0.35">
      <c r="B329" s="1" t="s">
        <v>321</v>
      </c>
      <c r="C329" s="1"/>
      <c r="D329" t="str">
        <f t="shared" si="26"/>
        <v>z52200</v>
      </c>
      <c r="E329" s="1" t="str">
        <f t="shared" si="25"/>
        <v xml:space="preserve">COORS LT 18PK </v>
      </c>
      <c r="F329" s="1" t="str">
        <f t="shared" si="28"/>
        <v>12OZ</v>
      </c>
      <c r="G329" s="3"/>
      <c r="H329" s="4">
        <f t="shared" si="29"/>
        <v>23</v>
      </c>
      <c r="I329">
        <f t="shared" si="27"/>
        <v>28</v>
      </c>
    </row>
    <row r="330" spans="2:9" x14ac:dyDescent="0.35">
      <c r="B330" s="1" t="s">
        <v>236</v>
      </c>
      <c r="C330" s="1"/>
      <c r="D330" t="str">
        <f t="shared" si="26"/>
        <v>a36174</v>
      </c>
      <c r="E330" s="1" t="str">
        <f t="shared" si="25"/>
        <v>PETER VELLA MOSCATO SANGRIA</v>
      </c>
      <c r="F330" s="1" t="str">
        <f t="shared" si="28"/>
        <v>5L</v>
      </c>
      <c r="G330" s="3"/>
      <c r="H330" s="4">
        <f t="shared" si="29"/>
        <v>36</v>
      </c>
      <c r="I330">
        <f t="shared" si="27"/>
        <v>39</v>
      </c>
    </row>
    <row r="331" spans="2:9" x14ac:dyDescent="0.35">
      <c r="B331" s="1" t="s">
        <v>322</v>
      </c>
      <c r="C331" s="1"/>
      <c r="D331" t="str">
        <f t="shared" si="26"/>
        <v>b55761</v>
      </c>
      <c r="E331" s="1" t="str">
        <f t="shared" si="25"/>
        <v xml:space="preserve">YUENGLING LAGER 2/12 </v>
      </c>
      <c r="F331" s="1" t="str">
        <f t="shared" si="28"/>
        <v>12OZ</v>
      </c>
      <c r="G331" s="3"/>
      <c r="H331" s="4">
        <f t="shared" si="29"/>
        <v>30</v>
      </c>
      <c r="I331">
        <f t="shared" si="27"/>
        <v>35</v>
      </c>
    </row>
    <row r="332" spans="2:9" x14ac:dyDescent="0.35">
      <c r="B332" s="1" t="s">
        <v>237</v>
      </c>
      <c r="C332" s="1"/>
      <c r="D332" t="str">
        <f t="shared" si="26"/>
        <v>c34423</v>
      </c>
      <c r="E332" s="1" t="str">
        <f t="shared" si="25"/>
        <v>PERONI 4/6 NR</v>
      </c>
      <c r="F332" s="1" t="str">
        <f t="shared" si="28"/>
        <v>12OZ</v>
      </c>
      <c r="G332" s="3"/>
      <c r="H332" s="4">
        <f t="shared" si="29"/>
        <v>22</v>
      </c>
      <c r="I332">
        <f t="shared" si="27"/>
        <v>27</v>
      </c>
    </row>
    <row r="333" spans="2:9" x14ac:dyDescent="0.35">
      <c r="B333" s="1" t="s">
        <v>323</v>
      </c>
      <c r="C333" s="1"/>
      <c r="D333" t="str">
        <f t="shared" si="26"/>
        <v>d86684</v>
      </c>
      <c r="E333" s="1" t="str">
        <f t="shared" si="25"/>
        <v xml:space="preserve">MILWAUKEE BEST 2/15PK </v>
      </c>
      <c r="F333" s="1" t="str">
        <f t="shared" si="28"/>
        <v>12OZ</v>
      </c>
      <c r="G333" s="3"/>
      <c r="H333" s="4">
        <f t="shared" si="29"/>
        <v>31</v>
      </c>
      <c r="I333">
        <f t="shared" si="27"/>
        <v>36</v>
      </c>
    </row>
    <row r="334" spans="2:9" x14ac:dyDescent="0.35">
      <c r="B334" s="1" t="s">
        <v>324</v>
      </c>
      <c r="C334" s="1"/>
      <c r="D334" t="str">
        <f t="shared" si="26"/>
        <v>e29778</v>
      </c>
      <c r="E334" s="1" t="str">
        <f t="shared" si="25"/>
        <v xml:space="preserve">BUD 18PK 16OZ </v>
      </c>
      <c r="F334" s="1" t="str">
        <f t="shared" si="28"/>
        <v>16OZ</v>
      </c>
      <c r="G334" s="3"/>
      <c r="H334" s="4">
        <f t="shared" si="29"/>
        <v>23</v>
      </c>
      <c r="I334">
        <f t="shared" si="27"/>
        <v>28</v>
      </c>
    </row>
    <row r="335" spans="2:9" x14ac:dyDescent="0.35">
      <c r="B335" s="1" t="s">
        <v>363</v>
      </c>
      <c r="C335" s="1"/>
      <c r="D335" t="str">
        <f t="shared" si="26"/>
        <v>f81989</v>
      </c>
      <c r="E335" s="1" t="str">
        <f t="shared" si="25"/>
        <v>GOOSE ISLAND IPA 4PK</v>
      </c>
      <c r="F335" s="1" t="str">
        <f t="shared" si="28"/>
        <v>16OZ</v>
      </c>
      <c r="G335" s="3"/>
      <c r="H335" s="4">
        <f t="shared" si="29"/>
        <v>29</v>
      </c>
      <c r="I335">
        <f t="shared" si="27"/>
        <v>35</v>
      </c>
    </row>
    <row r="336" spans="2:9" x14ac:dyDescent="0.35">
      <c r="B336" s="1" t="s">
        <v>238</v>
      </c>
      <c r="C336" s="1"/>
      <c r="D336" t="str">
        <f t="shared" si="26"/>
        <v>g46966</v>
      </c>
      <c r="E336" s="1" t="str">
        <f t="shared" si="25"/>
        <v>KALIBER BREW NA 4/6 NR</v>
      </c>
      <c r="F336" s="1" t="str">
        <f t="shared" si="28"/>
        <v>12OZ</v>
      </c>
      <c r="G336" s="3"/>
      <c r="H336" s="4">
        <f t="shared" si="29"/>
        <v>31</v>
      </c>
      <c r="I336">
        <f t="shared" si="27"/>
        <v>36</v>
      </c>
    </row>
    <row r="337" spans="2:9" x14ac:dyDescent="0.35">
      <c r="B337" s="1" t="s">
        <v>325</v>
      </c>
      <c r="C337" s="1"/>
      <c r="D337" t="str">
        <f t="shared" si="26"/>
        <v>h90339</v>
      </c>
      <c r="E337" s="1" t="str">
        <f t="shared" si="25"/>
        <v xml:space="preserve">MILLER GEN DRAFT 2/12 </v>
      </c>
      <c r="F337" s="1" t="str">
        <f t="shared" si="28"/>
        <v>12OZ</v>
      </c>
      <c r="G337" s="3"/>
      <c r="H337" s="4">
        <f t="shared" si="29"/>
        <v>31</v>
      </c>
      <c r="I337">
        <f t="shared" si="27"/>
        <v>36</v>
      </c>
    </row>
    <row r="338" spans="2:9" x14ac:dyDescent="0.35">
      <c r="B338" s="1" t="s">
        <v>239</v>
      </c>
      <c r="C338" s="1"/>
      <c r="D338" t="str">
        <f t="shared" si="26"/>
        <v>i56916</v>
      </c>
      <c r="E338" s="1" t="str">
        <f t="shared" si="25"/>
        <v>HEINEKEN LOOSE NR</v>
      </c>
      <c r="F338" s="1" t="str">
        <f t="shared" si="28"/>
        <v>12OZ</v>
      </c>
      <c r="G338" s="3"/>
      <c r="H338" s="4">
        <f t="shared" si="29"/>
        <v>26</v>
      </c>
      <c r="I338">
        <f t="shared" si="27"/>
        <v>31</v>
      </c>
    </row>
    <row r="339" spans="2:9" x14ac:dyDescent="0.35">
      <c r="B339" s="1" t="s">
        <v>326</v>
      </c>
      <c r="C339" s="1"/>
      <c r="D339" t="str">
        <f t="shared" si="26"/>
        <v>j55259</v>
      </c>
      <c r="E339" s="1" t="str">
        <f t="shared" si="25"/>
        <v>MODELO ESPECIAL SUITCASE S</v>
      </c>
      <c r="F339" s="1" t="str">
        <f t="shared" si="28"/>
        <v>12OZ</v>
      </c>
      <c r="G339" s="3"/>
      <c r="H339" s="4">
        <f t="shared" si="29"/>
        <v>35</v>
      </c>
      <c r="I339">
        <f t="shared" si="27"/>
        <v>40</v>
      </c>
    </row>
    <row r="340" spans="2:9" x14ac:dyDescent="0.35">
      <c r="B340" s="1" t="s">
        <v>240</v>
      </c>
      <c r="C340" s="1"/>
      <c r="D340" t="str">
        <f t="shared" si="26"/>
        <v>k56482</v>
      </c>
      <c r="E340" s="1" t="str">
        <f t="shared" si="25"/>
        <v>STELLA ARTOIS 2/12 NR</v>
      </c>
      <c r="F340" s="1" t="str">
        <f t="shared" si="28"/>
        <v>11.2OZ</v>
      </c>
      <c r="G340" s="3"/>
      <c r="H340" s="4">
        <f t="shared" si="29"/>
        <v>30</v>
      </c>
      <c r="I340">
        <f t="shared" si="27"/>
        <v>37</v>
      </c>
    </row>
    <row r="341" spans="2:9" x14ac:dyDescent="0.35">
      <c r="B341" s="1" t="s">
        <v>241</v>
      </c>
      <c r="C341" s="1"/>
      <c r="D341" t="str">
        <f t="shared" si="26"/>
        <v>l54438</v>
      </c>
      <c r="E341" s="1" t="str">
        <f t="shared" si="25"/>
        <v>ANTINORI CHN CL RES</v>
      </c>
      <c r="F341" s="1" t="str">
        <f t="shared" si="28"/>
        <v>750ML</v>
      </c>
      <c r="G341" s="3"/>
      <c r="H341" s="4">
        <f t="shared" si="29"/>
        <v>28</v>
      </c>
      <c r="I341">
        <f t="shared" si="27"/>
        <v>34</v>
      </c>
    </row>
    <row r="342" spans="2:9" x14ac:dyDescent="0.35">
      <c r="B342" s="1" t="s">
        <v>364</v>
      </c>
      <c r="C342" s="1"/>
      <c r="D342" t="str">
        <f t="shared" si="26"/>
        <v>m74226</v>
      </c>
      <c r="E342" s="1" t="str">
        <f t="shared" si="25"/>
        <v>MODELO ESPECIAL 18PK 12.0Z NR</v>
      </c>
      <c r="F342" s="1" t="str">
        <f t="shared" si="28"/>
        <v>12OZ</v>
      </c>
      <c r="G342" s="3"/>
      <c r="H342" s="4">
        <f t="shared" si="29"/>
        <v>38</v>
      </c>
      <c r="I342">
        <f t="shared" si="27"/>
        <v>42</v>
      </c>
    </row>
    <row r="343" spans="2:9" x14ac:dyDescent="0.35">
      <c r="B343" s="1" t="s">
        <v>242</v>
      </c>
      <c r="C343" s="1"/>
      <c r="D343" t="str">
        <f t="shared" si="26"/>
        <v>n80408</v>
      </c>
      <c r="E343" s="1" t="str">
        <f t="shared" si="25"/>
        <v>MODELO ESPECIAL 2/12 NR</v>
      </c>
      <c r="F343" s="1" t="str">
        <f t="shared" si="28"/>
        <v>12OZ</v>
      </c>
      <c r="G343" s="3"/>
      <c r="H343" s="4">
        <f t="shared" si="29"/>
        <v>32</v>
      </c>
      <c r="I343">
        <f t="shared" si="27"/>
        <v>37</v>
      </c>
    </row>
    <row r="344" spans="2:9" x14ac:dyDescent="0.35">
      <c r="B344" s="1" t="s">
        <v>402</v>
      </c>
      <c r="C344" s="1"/>
      <c r="D344" t="str">
        <f t="shared" si="26"/>
        <v>o57775</v>
      </c>
      <c r="E344" s="1" t="str">
        <f t="shared" si="25"/>
        <v>BRUGAL RUM  ANEJO</v>
      </c>
      <c r="F344" s="1" t="str">
        <f t="shared" si="28"/>
        <v>1.75L</v>
      </c>
      <c r="G344" s="3"/>
      <c r="H344" s="4">
        <f t="shared" si="29"/>
        <v>26</v>
      </c>
      <c r="I344">
        <f t="shared" si="27"/>
        <v>32</v>
      </c>
    </row>
    <row r="345" spans="2:9" x14ac:dyDescent="0.35">
      <c r="B345" s="1" t="s">
        <v>243</v>
      </c>
      <c r="C345" s="1"/>
      <c r="D345" t="str">
        <f t="shared" si="26"/>
        <v>p44414</v>
      </c>
      <c r="E345" s="1" t="str">
        <f t="shared" si="25"/>
        <v>CIELO PINOT GRIG DEL VENETO</v>
      </c>
      <c r="F345" s="1" t="str">
        <f t="shared" si="28"/>
        <v>750ML</v>
      </c>
      <c r="G345" s="3"/>
      <c r="H345" s="4">
        <f t="shared" si="29"/>
        <v>36</v>
      </c>
      <c r="I345">
        <f t="shared" si="27"/>
        <v>42</v>
      </c>
    </row>
    <row r="346" spans="2:9" x14ac:dyDescent="0.35">
      <c r="B346" s="1" t="s">
        <v>244</v>
      </c>
      <c r="C346" s="1"/>
      <c r="D346" t="str">
        <f t="shared" si="26"/>
        <v>q65846</v>
      </c>
      <c r="E346" s="1" t="str">
        <f t="shared" si="25"/>
        <v>ST PAULI GIRL NA 4/6 NR</v>
      </c>
      <c r="F346" s="1" t="str">
        <f t="shared" si="28"/>
        <v>12OZ</v>
      </c>
      <c r="G346" s="3"/>
      <c r="H346" s="4">
        <f t="shared" si="29"/>
        <v>32</v>
      </c>
      <c r="I346">
        <f t="shared" si="27"/>
        <v>37</v>
      </c>
    </row>
    <row r="347" spans="2:9" x14ac:dyDescent="0.35">
      <c r="B347" s="1" t="s">
        <v>327</v>
      </c>
      <c r="C347" s="1"/>
      <c r="D347" t="str">
        <f t="shared" si="26"/>
        <v>r58173</v>
      </c>
      <c r="E347" s="1" t="str">
        <f t="shared" si="25"/>
        <v>MODELO ESPECIAL S 12/CS</v>
      </c>
      <c r="F347" s="1" t="str">
        <f t="shared" si="28"/>
        <v>24OZ</v>
      </c>
      <c r="G347" s="3"/>
      <c r="H347" s="4">
        <f t="shared" si="29"/>
        <v>32</v>
      </c>
      <c r="I347">
        <f t="shared" si="27"/>
        <v>37</v>
      </c>
    </row>
    <row r="348" spans="2:9" x14ac:dyDescent="0.35">
      <c r="B348" s="1" t="s">
        <v>403</v>
      </c>
      <c r="C348" s="1"/>
      <c r="D348" t="str">
        <f t="shared" si="26"/>
        <v>s44726</v>
      </c>
      <c r="E348" s="1" t="str">
        <f t="shared" si="25"/>
        <v>FISH EYE CAB BIB</v>
      </c>
      <c r="F348" s="1" t="str">
        <f t="shared" si="28"/>
        <v>3L</v>
      </c>
      <c r="G348" s="3"/>
      <c r="H348" s="4">
        <f t="shared" si="29"/>
        <v>25</v>
      </c>
      <c r="I348">
        <f t="shared" si="27"/>
        <v>28</v>
      </c>
    </row>
    <row r="349" spans="2:9" x14ac:dyDescent="0.35">
      <c r="B349" s="1" t="s">
        <v>365</v>
      </c>
      <c r="C349" s="1"/>
      <c r="D349" t="str">
        <f t="shared" si="26"/>
        <v>t90159</v>
      </c>
      <c r="E349" s="1" t="str">
        <f t="shared" si="25"/>
        <v>WILD BASIN VARIETY PACK 2/12 S</v>
      </c>
      <c r="F349" s="1" t="str">
        <f t="shared" si="28"/>
        <v>12OZ</v>
      </c>
      <c r="G349" s="3"/>
      <c r="H349" s="4">
        <f t="shared" si="29"/>
        <v>39</v>
      </c>
      <c r="I349">
        <f t="shared" si="27"/>
        <v>43</v>
      </c>
    </row>
    <row r="350" spans="2:9" x14ac:dyDescent="0.35">
      <c r="B350" s="1" t="s">
        <v>245</v>
      </c>
      <c r="C350" s="1"/>
      <c r="D350" t="str">
        <f t="shared" si="26"/>
        <v>u47598</v>
      </c>
      <c r="E350" s="1" t="str">
        <f t="shared" si="25"/>
        <v>SAM ADAMS OCTOBERFEST 4/6 LN</v>
      </c>
      <c r="F350" s="1" t="str">
        <f t="shared" si="28"/>
        <v>12OZ</v>
      </c>
      <c r="G350" s="3"/>
      <c r="H350" s="4">
        <f t="shared" si="29"/>
        <v>37</v>
      </c>
      <c r="I350">
        <f t="shared" si="27"/>
        <v>42</v>
      </c>
    </row>
    <row r="351" spans="2:9" x14ac:dyDescent="0.35">
      <c r="B351" s="1" t="s">
        <v>246</v>
      </c>
      <c r="C351" s="1"/>
      <c r="D351" t="str">
        <f t="shared" si="26"/>
        <v>v51570</v>
      </c>
      <c r="E351" s="1" t="str">
        <f t="shared" si="25"/>
        <v>DEVILS BACKBONE EIGHT POINT IPA 4/6NR</v>
      </c>
      <c r="F351" s="1" t="str">
        <f t="shared" si="28"/>
        <v>12OZ</v>
      </c>
      <c r="G351" s="3"/>
      <c r="H351" s="4">
        <f t="shared" si="29"/>
        <v>46</v>
      </c>
      <c r="I351">
        <f t="shared" si="27"/>
        <v>51</v>
      </c>
    </row>
    <row r="352" spans="2:9" x14ac:dyDescent="0.35">
      <c r="B352" s="1" t="s">
        <v>247</v>
      </c>
      <c r="C352" s="1"/>
      <c r="D352" t="str">
        <f t="shared" si="26"/>
        <v>w97966</v>
      </c>
      <c r="E352" s="1" t="str">
        <f t="shared" si="25"/>
        <v>MASTER OF MIXES COCKTAIL ESS LIME JUICE</v>
      </c>
      <c r="F352" s="1" t="str">
        <f t="shared" si="28"/>
        <v>375ML</v>
      </c>
      <c r="G352" s="3"/>
      <c r="H352" s="4">
        <f t="shared" si="29"/>
        <v>48</v>
      </c>
      <c r="I352">
        <f t="shared" si="27"/>
        <v>54</v>
      </c>
    </row>
    <row r="353" spans="2:9" x14ac:dyDescent="0.35">
      <c r="B353" s="1" t="s">
        <v>328</v>
      </c>
      <c r="C353" s="1"/>
      <c r="D353" t="str">
        <f t="shared" si="26"/>
        <v>x94326</v>
      </c>
      <c r="E353" s="1" t="str">
        <f t="shared" si="25"/>
        <v xml:space="preserve">MILLER LITE 18PK </v>
      </c>
      <c r="F353" s="1" t="str">
        <f t="shared" si="28"/>
        <v>12OZ</v>
      </c>
      <c r="G353" s="3"/>
      <c r="H353" s="4">
        <f t="shared" si="29"/>
        <v>26</v>
      </c>
      <c r="I353">
        <f t="shared" si="27"/>
        <v>31</v>
      </c>
    </row>
    <row r="354" spans="2:9" x14ac:dyDescent="0.35">
      <c r="B354" s="1" t="s">
        <v>366</v>
      </c>
      <c r="C354" s="1"/>
      <c r="D354" t="str">
        <f t="shared" si="26"/>
        <v>y26270</v>
      </c>
      <c r="E354" s="1" t="str">
        <f t="shared" si="25"/>
        <v>BUD LIGHT 2/12</v>
      </c>
      <c r="F354" s="1" t="str">
        <f t="shared" si="28"/>
        <v>12OZ</v>
      </c>
      <c r="G354" s="3"/>
      <c r="H354" s="4">
        <f t="shared" si="29"/>
        <v>23</v>
      </c>
      <c r="I354">
        <f t="shared" si="27"/>
        <v>27</v>
      </c>
    </row>
    <row r="355" spans="2:9" x14ac:dyDescent="0.35">
      <c r="B355" s="1" t="s">
        <v>381</v>
      </c>
      <c r="C355" s="1"/>
      <c r="D355" t="str">
        <f t="shared" si="26"/>
        <v>z25280</v>
      </c>
      <c r="E355" s="1" t="str">
        <f t="shared" si="25"/>
        <v>NATIONAL BOHEMIAN 2/1</v>
      </c>
      <c r="F355" s="1" t="str">
        <f t="shared" si="28"/>
        <v>12OZ</v>
      </c>
      <c r="G355" s="3"/>
      <c r="H355" s="4">
        <f t="shared" si="29"/>
        <v>30</v>
      </c>
      <c r="I355">
        <f t="shared" si="27"/>
        <v>35</v>
      </c>
    </row>
    <row r="356" spans="2:9" x14ac:dyDescent="0.35">
      <c r="B356" s="1" t="s">
        <v>367</v>
      </c>
      <c r="C356" s="1"/>
      <c r="D356" t="str">
        <f t="shared" si="26"/>
        <v>a48657</v>
      </c>
      <c r="E356" s="1" t="str">
        <f t="shared" si="25"/>
        <v>CHATEAU LA TUILERIE DU PUY BORDEAUX</v>
      </c>
      <c r="F356" s="1" t="str">
        <f t="shared" si="28"/>
        <v>750ML</v>
      </c>
      <c r="G356" s="3"/>
      <c r="H356" s="4">
        <f t="shared" si="29"/>
        <v>44</v>
      </c>
      <c r="I356">
        <f t="shared" si="27"/>
        <v>50</v>
      </c>
    </row>
    <row r="357" spans="2:9" x14ac:dyDescent="0.35">
      <c r="B357" s="1" t="s">
        <v>329</v>
      </c>
      <c r="C357" s="1"/>
      <c r="D357" t="str">
        <f t="shared" si="26"/>
        <v>b61155</v>
      </c>
      <c r="E357" s="1" t="str">
        <f t="shared" si="25"/>
        <v xml:space="preserve">TECATE 4/6 </v>
      </c>
      <c r="F357" s="1" t="str">
        <f t="shared" si="28"/>
        <v>12OZ</v>
      </c>
      <c r="G357" s="3"/>
      <c r="H357" s="4">
        <f t="shared" si="29"/>
        <v>20</v>
      </c>
      <c r="I357">
        <f t="shared" si="27"/>
        <v>25</v>
      </c>
    </row>
    <row r="358" spans="2:9" x14ac:dyDescent="0.35">
      <c r="B358" s="1" t="s">
        <v>248</v>
      </c>
      <c r="C358" s="1"/>
      <c r="D358" t="str">
        <f t="shared" si="26"/>
        <v>c45056</v>
      </c>
      <c r="E358" s="1" t="str">
        <f t="shared" si="25"/>
        <v>HEINEKEN 2/12 NR</v>
      </c>
      <c r="F358" s="1" t="str">
        <f t="shared" si="28"/>
        <v>12OZ</v>
      </c>
      <c r="G358" s="3"/>
      <c r="H358" s="4">
        <f t="shared" si="29"/>
        <v>25</v>
      </c>
      <c r="I358">
        <f t="shared" si="27"/>
        <v>30</v>
      </c>
    </row>
    <row r="359" spans="2:9" x14ac:dyDescent="0.35">
      <c r="B359" s="1" t="s">
        <v>249</v>
      </c>
      <c r="C359" s="1"/>
      <c r="D359" t="str">
        <f t="shared" si="26"/>
        <v>d31008</v>
      </c>
      <c r="E359" s="1" t="str">
        <f t="shared" si="25"/>
        <v>CUPCAKE CENTRAL COAST CHARD</v>
      </c>
      <c r="F359" s="1" t="str">
        <f t="shared" si="28"/>
        <v>750ML</v>
      </c>
      <c r="G359" s="3"/>
      <c r="H359" s="4">
        <f t="shared" si="29"/>
        <v>36</v>
      </c>
      <c r="I359">
        <f t="shared" si="27"/>
        <v>42</v>
      </c>
    </row>
    <row r="360" spans="2:9" x14ac:dyDescent="0.35">
      <c r="B360" s="1" t="s">
        <v>250</v>
      </c>
      <c r="C360" s="1"/>
      <c r="D360" t="str">
        <f t="shared" si="26"/>
        <v>e55526</v>
      </c>
      <c r="E360" s="1" t="str">
        <f t="shared" si="25"/>
        <v>GRANT'S SCOTCH</v>
      </c>
      <c r="F360" s="1" t="str">
        <f t="shared" si="28"/>
        <v>1.75L</v>
      </c>
      <c r="G360" s="3"/>
      <c r="H360" s="4">
        <f t="shared" si="29"/>
        <v>23</v>
      </c>
      <c r="I360">
        <f t="shared" si="27"/>
        <v>29</v>
      </c>
    </row>
    <row r="361" spans="2:9" x14ac:dyDescent="0.35">
      <c r="B361" s="1" t="s">
        <v>251</v>
      </c>
      <c r="C361" s="1"/>
      <c r="D361" t="str">
        <f t="shared" si="26"/>
        <v>f68117</v>
      </c>
      <c r="E361" s="1" t="str">
        <f t="shared" si="25"/>
        <v>FLYING DOG THE TRUTH 4/6NR</v>
      </c>
      <c r="F361" s="1" t="str">
        <f t="shared" si="28"/>
        <v>12OZ</v>
      </c>
      <c r="G361" s="3"/>
      <c r="H361" s="4">
        <f t="shared" si="29"/>
        <v>35</v>
      </c>
      <c r="I361">
        <f t="shared" si="27"/>
        <v>40</v>
      </c>
    </row>
    <row r="362" spans="2:9" x14ac:dyDescent="0.35">
      <c r="B362" s="1" t="s">
        <v>330</v>
      </c>
      <c r="C362" s="1"/>
      <c r="D362" t="str">
        <f t="shared" si="26"/>
        <v>g59459</v>
      </c>
      <c r="E362" s="1" t="str">
        <f t="shared" si="25"/>
        <v>BUD LIGHT CHELADA S 15/CS</v>
      </c>
      <c r="F362" s="1" t="str">
        <f t="shared" si="28"/>
        <v>25OZ</v>
      </c>
      <c r="G362" s="3"/>
      <c r="H362" s="4">
        <f t="shared" si="29"/>
        <v>34</v>
      </c>
      <c r="I362">
        <f t="shared" si="27"/>
        <v>39</v>
      </c>
    </row>
    <row r="363" spans="2:9" x14ac:dyDescent="0.35">
      <c r="B363" s="1" t="s">
        <v>252</v>
      </c>
      <c r="C363" s="1"/>
      <c r="D363" t="str">
        <f t="shared" si="26"/>
        <v>h44403</v>
      </c>
      <c r="E363" s="1" t="str">
        <f t="shared" si="25"/>
        <v>BARON HERZOG CAB</v>
      </c>
      <c r="F363" s="1" t="str">
        <f t="shared" si="28"/>
        <v>750ML</v>
      </c>
      <c r="G363" s="3"/>
      <c r="H363" s="4">
        <f t="shared" si="29"/>
        <v>25</v>
      </c>
      <c r="I363">
        <f t="shared" si="27"/>
        <v>31</v>
      </c>
    </row>
    <row r="364" spans="2:9" x14ac:dyDescent="0.35">
      <c r="B364" s="1" t="s">
        <v>368</v>
      </c>
      <c r="C364" s="1"/>
      <c r="D364" t="str">
        <f t="shared" si="26"/>
        <v>i89895</v>
      </c>
      <c r="E364" s="1" t="str">
        <f t="shared" si="25"/>
        <v>AUSTIN WATERMELON CIDER 4/6 S</v>
      </c>
      <c r="F364" s="1" t="str">
        <f t="shared" si="28"/>
        <v>24OZ</v>
      </c>
      <c r="G364" s="3"/>
      <c r="H364" s="4">
        <f t="shared" si="29"/>
        <v>38</v>
      </c>
      <c r="I364">
        <f t="shared" si="27"/>
        <v>43</v>
      </c>
    </row>
    <row r="365" spans="2:9" x14ac:dyDescent="0.35">
      <c r="B365" s="1" t="s">
        <v>369</v>
      </c>
      <c r="C365" s="1"/>
      <c r="D365" t="str">
        <f t="shared" si="26"/>
        <v>j66421</v>
      </c>
      <c r="E365" s="1" t="str">
        <f t="shared" si="25"/>
        <v>BUD LIGHT 15/25OZ S</v>
      </c>
      <c r="F365" s="1" t="str">
        <f t="shared" si="28"/>
        <v>24OZ</v>
      </c>
      <c r="G365" s="3"/>
      <c r="H365" s="4">
        <f t="shared" si="29"/>
        <v>28</v>
      </c>
      <c r="I365">
        <f t="shared" si="27"/>
        <v>33</v>
      </c>
    </row>
    <row r="366" spans="2:9" x14ac:dyDescent="0.35">
      <c r="B366" s="1" t="s">
        <v>253</v>
      </c>
      <c r="C366" s="1"/>
      <c r="D366" t="str">
        <f t="shared" si="26"/>
        <v>k95310</v>
      </c>
      <c r="E366" s="1" t="str">
        <f t="shared" si="25"/>
        <v>COORS LT 2/12 LNNR</v>
      </c>
      <c r="F366" s="1" t="str">
        <f t="shared" si="28"/>
        <v>12OZ</v>
      </c>
      <c r="G366" s="3"/>
      <c r="H366" s="4">
        <f t="shared" si="29"/>
        <v>27</v>
      </c>
      <c r="I366">
        <f t="shared" si="27"/>
        <v>32</v>
      </c>
    </row>
    <row r="367" spans="2:9" x14ac:dyDescent="0.35">
      <c r="B367" s="1" t="s">
        <v>254</v>
      </c>
      <c r="C367" s="1"/>
      <c r="D367" t="str">
        <f t="shared" si="26"/>
        <v>l15502</v>
      </c>
      <c r="E367" s="1" t="str">
        <f t="shared" si="25"/>
        <v>JOSE CUERVO GOLDEN MARGARITA</v>
      </c>
      <c r="F367" s="1" t="str">
        <f t="shared" si="28"/>
        <v>1.75L</v>
      </c>
      <c r="G367" s="3"/>
      <c r="H367" s="4">
        <f t="shared" si="29"/>
        <v>37</v>
      </c>
      <c r="I367">
        <f t="shared" si="27"/>
        <v>43</v>
      </c>
    </row>
    <row r="368" spans="2:9" x14ac:dyDescent="0.35">
      <c r="B368" s="1" t="s">
        <v>255</v>
      </c>
      <c r="C368" s="1"/>
      <c r="D368" t="str">
        <f t="shared" si="26"/>
        <v>m48156</v>
      </c>
      <c r="E368" s="1" t="str">
        <f t="shared" si="25"/>
        <v>SEAGRAM ORANGE/PINE BAHA MAMA 6/4NR</v>
      </c>
      <c r="F368" s="1" t="str">
        <f t="shared" si="28"/>
        <v>355ML</v>
      </c>
      <c r="G368" s="3"/>
      <c r="H368" s="4">
        <f t="shared" si="29"/>
        <v>44</v>
      </c>
      <c r="I368">
        <f t="shared" si="27"/>
        <v>50</v>
      </c>
    </row>
    <row r="369" spans="2:9" x14ac:dyDescent="0.35">
      <c r="B369" s="1" t="s">
        <v>256</v>
      </c>
      <c r="C369" s="1"/>
      <c r="D369" t="str">
        <f t="shared" si="26"/>
        <v>n69797</v>
      </c>
      <c r="E369" s="1" t="str">
        <f t="shared" si="25"/>
        <v>MARQUES DE CACERES ORG RED RIOJA</v>
      </c>
      <c r="F369" s="1" t="str">
        <f t="shared" si="28"/>
        <v>750ML</v>
      </c>
      <c r="G369" s="3"/>
      <c r="H369" s="4">
        <f t="shared" si="29"/>
        <v>41</v>
      </c>
      <c r="I369">
        <f t="shared" si="27"/>
        <v>47</v>
      </c>
    </row>
    <row r="370" spans="2:9" x14ac:dyDescent="0.35">
      <c r="B370" s="1" t="s">
        <v>257</v>
      </c>
      <c r="C370" s="1"/>
      <c r="D370" t="str">
        <f t="shared" si="26"/>
        <v>o91691</v>
      </c>
      <c r="E370" s="1" t="str">
        <f t="shared" si="25"/>
        <v>MIONETTO PRESTIGE COLL 1887 PROSECCO BRUT</v>
      </c>
      <c r="F370" s="1" t="str">
        <f t="shared" si="28"/>
        <v>750ML</v>
      </c>
      <c r="G370" s="3"/>
      <c r="H370" s="4">
        <f t="shared" si="29"/>
        <v>50</v>
      </c>
      <c r="I370">
        <f t="shared" si="27"/>
        <v>56</v>
      </c>
    </row>
    <row r="371" spans="2:9" x14ac:dyDescent="0.35">
      <c r="B371" s="1" t="s">
        <v>258</v>
      </c>
      <c r="C371" s="1"/>
      <c r="D371" t="str">
        <f t="shared" si="26"/>
        <v>p22496</v>
      </c>
      <c r="E371" s="1" t="str">
        <f t="shared" si="25"/>
        <v>FLYING DOG PALE ALE NR</v>
      </c>
      <c r="F371" s="1" t="str">
        <f t="shared" si="28"/>
        <v>12OZ</v>
      </c>
      <c r="G371" s="3"/>
      <c r="H371" s="4">
        <f t="shared" si="29"/>
        <v>31</v>
      </c>
      <c r="I371">
        <f t="shared" si="27"/>
        <v>36</v>
      </c>
    </row>
    <row r="372" spans="2:9" x14ac:dyDescent="0.35">
      <c r="B372" s="1" t="s">
        <v>259</v>
      </c>
      <c r="C372" s="1"/>
      <c r="D372" t="str">
        <f t="shared" si="26"/>
        <v>q29774</v>
      </c>
      <c r="E372" s="1" t="str">
        <f t="shared" si="25"/>
        <v>BELLA SERA P/GRIG</v>
      </c>
      <c r="F372" s="1" t="str">
        <f t="shared" si="28"/>
        <v>1.5L</v>
      </c>
      <c r="G372" s="3"/>
      <c r="H372" s="4">
        <f t="shared" si="29"/>
        <v>26</v>
      </c>
      <c r="I372">
        <f t="shared" si="27"/>
        <v>31</v>
      </c>
    </row>
    <row r="373" spans="2:9" x14ac:dyDescent="0.35">
      <c r="B373" s="1" t="s">
        <v>404</v>
      </c>
      <c r="C373" s="1"/>
      <c r="D373" t="str">
        <f t="shared" si="26"/>
        <v>r50995</v>
      </c>
      <c r="E373" s="1" t="str">
        <f t="shared" si="25"/>
        <v>RITAS WATER MELON RITA 8OZ 2/12 CN</v>
      </c>
      <c r="F373" s="1" t="str">
        <f t="shared" si="28"/>
        <v>12OZ</v>
      </c>
      <c r="G373" s="3"/>
      <c r="H373" s="4">
        <f t="shared" si="29"/>
        <v>43</v>
      </c>
      <c r="I373">
        <f t="shared" si="27"/>
        <v>47</v>
      </c>
    </row>
    <row r="374" spans="2:9" x14ac:dyDescent="0.35">
      <c r="B374" s="1" t="s">
        <v>260</v>
      </c>
      <c r="C374" s="1"/>
      <c r="D374" t="str">
        <f t="shared" si="26"/>
        <v>s73070</v>
      </c>
      <c r="E374" s="1" t="str">
        <f t="shared" si="25"/>
        <v>OMISSION LAGER 4/6 NR</v>
      </c>
      <c r="F374" s="1" t="str">
        <f t="shared" si="28"/>
        <v>11.2OZ</v>
      </c>
      <c r="G374" s="3"/>
      <c r="H374" s="4">
        <f t="shared" si="29"/>
        <v>30</v>
      </c>
      <c r="I374">
        <f t="shared" si="27"/>
        <v>37</v>
      </c>
    </row>
    <row r="375" spans="2:9" x14ac:dyDescent="0.35">
      <c r="B375" s="1" t="s">
        <v>370</v>
      </c>
      <c r="C375" s="1"/>
      <c r="D375" t="str">
        <f t="shared" si="26"/>
        <v>t24893</v>
      </c>
      <c r="E375" s="1" t="str">
        <f t="shared" si="25"/>
        <v>BELLS BEST BROWN ALE 4/6 NR</v>
      </c>
      <c r="F375" s="1" t="str">
        <f t="shared" si="28"/>
        <v>12OZ</v>
      </c>
      <c r="G375" s="3"/>
      <c r="H375" s="4">
        <f t="shared" si="29"/>
        <v>36</v>
      </c>
      <c r="I375">
        <f t="shared" si="27"/>
        <v>40</v>
      </c>
    </row>
    <row r="376" spans="2:9" x14ac:dyDescent="0.35">
      <c r="B376" s="1" t="s">
        <v>261</v>
      </c>
      <c r="C376" s="1"/>
      <c r="D376" t="str">
        <f t="shared" si="26"/>
        <v>u38505</v>
      </c>
      <c r="E376" s="1" t="str">
        <f t="shared" si="25"/>
        <v>PERONI 4/6 NR</v>
      </c>
      <c r="F376" s="1" t="str">
        <f t="shared" si="28"/>
        <v>12OZ</v>
      </c>
      <c r="G376" s="3"/>
      <c r="H376" s="4">
        <f t="shared" si="29"/>
        <v>22</v>
      </c>
      <c r="I376">
        <f t="shared" si="27"/>
        <v>27</v>
      </c>
    </row>
    <row r="377" spans="2:9" x14ac:dyDescent="0.35">
      <c r="B377" s="1" t="s">
        <v>331</v>
      </c>
      <c r="C377" s="1"/>
      <c r="D377" t="str">
        <f t="shared" si="26"/>
        <v>v33343</v>
      </c>
      <c r="E377" s="1" t="str">
        <f t="shared" si="25"/>
        <v>GUINNESS DRAFT 6/4 S</v>
      </c>
      <c r="F377" s="1" t="str">
        <f t="shared" si="28"/>
        <v>14.9OZ</v>
      </c>
      <c r="G377" s="3"/>
      <c r="H377" s="4">
        <f t="shared" si="29"/>
        <v>29</v>
      </c>
      <c r="I377">
        <f t="shared" si="27"/>
        <v>36</v>
      </c>
    </row>
    <row r="378" spans="2:9" x14ac:dyDescent="0.35">
      <c r="B378" s="1" t="s">
        <v>332</v>
      </c>
      <c r="C378" s="1"/>
      <c r="D378" t="str">
        <f t="shared" si="26"/>
        <v>w22199</v>
      </c>
      <c r="E378" s="1" t="str">
        <f t="shared" si="25"/>
        <v xml:space="preserve">MILWAUKEE BEST 2/15PK </v>
      </c>
      <c r="F378" s="1" t="str">
        <f t="shared" si="28"/>
        <v>12OZ</v>
      </c>
      <c r="G378" s="3"/>
      <c r="H378" s="4">
        <f t="shared" si="29"/>
        <v>31</v>
      </c>
      <c r="I378">
        <f t="shared" si="27"/>
        <v>36</v>
      </c>
    </row>
    <row r="379" spans="2:9" x14ac:dyDescent="0.35">
      <c r="B379" s="1" t="s">
        <v>262</v>
      </c>
      <c r="C379" s="1"/>
      <c r="D379" t="str">
        <f t="shared" si="26"/>
        <v>x30770</v>
      </c>
      <c r="E379" s="1" t="str">
        <f t="shared" si="25"/>
        <v>SIERRA NEVADA PALE ALE 2/12 NR</v>
      </c>
      <c r="F379" s="1" t="str">
        <f t="shared" si="28"/>
        <v>12OZ</v>
      </c>
      <c r="G379" s="3"/>
      <c r="H379" s="4">
        <f t="shared" si="29"/>
        <v>39</v>
      </c>
      <c r="I379">
        <f t="shared" si="27"/>
        <v>44</v>
      </c>
    </row>
    <row r="380" spans="2:9" x14ac:dyDescent="0.35">
      <c r="B380" s="1" t="s">
        <v>263</v>
      </c>
      <c r="C380" s="1"/>
      <c r="D380" t="str">
        <f t="shared" si="26"/>
        <v>y73330</v>
      </c>
      <c r="E380" s="1" t="str">
        <f t="shared" si="25"/>
        <v>KADABRA MENDOZA CAB</v>
      </c>
      <c r="F380" s="1" t="str">
        <f t="shared" si="28"/>
        <v>750ML</v>
      </c>
      <c r="G380" s="3"/>
      <c r="H380" s="4">
        <f t="shared" si="29"/>
        <v>28</v>
      </c>
      <c r="I380">
        <f t="shared" si="27"/>
        <v>34</v>
      </c>
    </row>
    <row r="381" spans="2:9" x14ac:dyDescent="0.35">
      <c r="B381" s="1" t="s">
        <v>264</v>
      </c>
      <c r="C381" s="1"/>
      <c r="D381" t="str">
        <f t="shared" si="26"/>
        <v>z65422</v>
      </c>
      <c r="E381" s="1" t="str">
        <f t="shared" si="25"/>
        <v>JIM BEAM DOUBLE OAK BOURBON</v>
      </c>
      <c r="F381" s="1" t="str">
        <f t="shared" si="28"/>
        <v>750ML</v>
      </c>
      <c r="G381" s="3"/>
      <c r="H381" s="4">
        <f t="shared" si="29"/>
        <v>36</v>
      </c>
      <c r="I381">
        <f t="shared" si="27"/>
        <v>42</v>
      </c>
    </row>
    <row r="382" spans="2:9" x14ac:dyDescent="0.35">
      <c r="B382" s="1" t="s">
        <v>265</v>
      </c>
      <c r="C382" s="1"/>
      <c r="D382" t="str">
        <f t="shared" si="26"/>
        <v>a28833</v>
      </c>
      <c r="E382" s="1" t="str">
        <f t="shared" si="25"/>
        <v>FLYING DOG GONZO IMP PORTER 4/6 NR</v>
      </c>
      <c r="F382" s="1" t="str">
        <f t="shared" si="28"/>
        <v>12OZ</v>
      </c>
      <c r="G382" s="3"/>
      <c r="H382" s="4">
        <f t="shared" si="29"/>
        <v>43</v>
      </c>
      <c r="I382">
        <f t="shared" si="27"/>
        <v>48</v>
      </c>
    </row>
    <row r="383" spans="2:9" x14ac:dyDescent="0.35">
      <c r="B383" s="1" t="s">
        <v>266</v>
      </c>
      <c r="C383" s="1"/>
      <c r="D383" t="str">
        <f t="shared" si="26"/>
        <v>a68093</v>
      </c>
      <c r="E383" s="1" t="str">
        <f t="shared" si="25"/>
        <v>HOFBRAU DUNKEL 4/6NR</v>
      </c>
      <c r="F383" s="1" t="str">
        <f t="shared" si="28"/>
        <v>11.2OZ</v>
      </c>
      <c r="G383" s="3"/>
      <c r="H383" s="4">
        <f t="shared" si="29"/>
        <v>29</v>
      </c>
      <c r="I383">
        <f t="shared" si="27"/>
        <v>36</v>
      </c>
    </row>
    <row r="384" spans="2:9" x14ac:dyDescent="0.35">
      <c r="B384" s="1" t="s">
        <v>267</v>
      </c>
      <c r="C384" s="1"/>
      <c r="D384" t="str">
        <f t="shared" si="26"/>
        <v>b60343</v>
      </c>
      <c r="E384" s="1" t="str">
        <f t="shared" si="25"/>
        <v>MICHELOB 2/12 LNNR</v>
      </c>
      <c r="F384" s="1" t="str">
        <f t="shared" si="28"/>
        <v>12OZ</v>
      </c>
      <c r="G384" s="3"/>
      <c r="H384" s="4">
        <f t="shared" si="29"/>
        <v>27</v>
      </c>
      <c r="I384">
        <f t="shared" si="27"/>
        <v>32</v>
      </c>
    </row>
    <row r="385" spans="2:9" x14ac:dyDescent="0.35">
      <c r="B385" s="1" t="s">
        <v>268</v>
      </c>
      <c r="C385" s="1"/>
      <c r="D385" t="str">
        <f t="shared" si="26"/>
        <v>c42528</v>
      </c>
      <c r="E385" s="1" t="str">
        <f t="shared" si="25"/>
        <v>MILLER LITE WIDEMOUTH ALUM 2/9 NR</v>
      </c>
      <c r="F385" s="1" t="str">
        <f t="shared" si="28"/>
        <v>16OZ</v>
      </c>
      <c r="G385" s="3"/>
      <c r="H385" s="4">
        <f t="shared" si="29"/>
        <v>42</v>
      </c>
      <c r="I385">
        <f t="shared" si="27"/>
        <v>47</v>
      </c>
    </row>
    <row r="386" spans="2:9" x14ac:dyDescent="0.35">
      <c r="B386" s="1" t="s">
        <v>269</v>
      </c>
      <c r="C386" s="1"/>
      <c r="D386" t="str">
        <f t="shared" si="26"/>
        <v>d25800</v>
      </c>
      <c r="E386" s="1" t="str">
        <f t="shared" si="25"/>
        <v>CORONA EXTRA 18PK NR</v>
      </c>
      <c r="F386" s="1" t="str">
        <f t="shared" si="28"/>
        <v>12OZ</v>
      </c>
      <c r="G386" s="3"/>
      <c r="H386" s="4">
        <f t="shared" si="29"/>
        <v>29</v>
      </c>
      <c r="I386">
        <f t="shared" si="27"/>
        <v>34</v>
      </c>
    </row>
    <row r="387" spans="2:9" x14ac:dyDescent="0.35">
      <c r="B387" s="1" t="s">
        <v>321</v>
      </c>
      <c r="C387" s="1"/>
      <c r="D387" t="str">
        <f t="shared" si="26"/>
        <v>z52200</v>
      </c>
      <c r="E387" s="1" t="str">
        <f t="shared" si="25"/>
        <v xml:space="preserve">COORS LT 18PK </v>
      </c>
      <c r="F387" s="1" t="str">
        <f t="shared" si="28"/>
        <v>12OZ</v>
      </c>
      <c r="G387" s="3"/>
      <c r="H387" s="4">
        <f t="shared" ref="H387:H403" si="30">FIND("-",B387)</f>
        <v>23</v>
      </c>
      <c r="I387">
        <f t="shared" si="27"/>
        <v>28</v>
      </c>
    </row>
    <row r="388" spans="2:9" x14ac:dyDescent="0.35">
      <c r="B388" s="1" t="s">
        <v>236</v>
      </c>
      <c r="C388" s="1"/>
      <c r="D388" t="str">
        <f t="shared" si="26"/>
        <v>a36174</v>
      </c>
      <c r="E388" s="1" t="str">
        <f t="shared" si="25"/>
        <v>PETER VELLA MOSCATO SANGRIA</v>
      </c>
      <c r="F388" s="1" t="str">
        <f t="shared" si="28"/>
        <v>5L</v>
      </c>
      <c r="G388" s="3"/>
      <c r="H388" s="4">
        <f t="shared" si="30"/>
        <v>36</v>
      </c>
      <c r="I388">
        <f t="shared" si="27"/>
        <v>39</v>
      </c>
    </row>
    <row r="389" spans="2:9" x14ac:dyDescent="0.35">
      <c r="B389" s="1" t="s">
        <v>322</v>
      </c>
      <c r="C389" s="1"/>
      <c r="D389" t="str">
        <f t="shared" si="26"/>
        <v>b55761</v>
      </c>
      <c r="E389" s="1" t="str">
        <f t="shared" ref="E389:E403" si="31">MID(B389,8,H389-9)</f>
        <v xml:space="preserve">YUENGLING LAGER 2/12 </v>
      </c>
      <c r="F389" s="1" t="str">
        <f t="shared" si="28"/>
        <v>12OZ</v>
      </c>
      <c r="G389" s="3"/>
      <c r="H389" s="4">
        <f t="shared" si="30"/>
        <v>30</v>
      </c>
      <c r="I389">
        <f t="shared" si="27"/>
        <v>35</v>
      </c>
    </row>
    <row r="390" spans="2:9" x14ac:dyDescent="0.35">
      <c r="B390" s="1" t="s">
        <v>237</v>
      </c>
      <c r="C390" s="1"/>
      <c r="D390" t="str">
        <f t="shared" ref="D390:D403" si="32">LEFT(B390,6)</f>
        <v>c34423</v>
      </c>
      <c r="E390" s="1" t="str">
        <f t="shared" si="31"/>
        <v>PERONI 4/6 NR</v>
      </c>
      <c r="F390" s="1" t="str">
        <f t="shared" si="28"/>
        <v>12OZ</v>
      </c>
      <c r="G390" s="3"/>
      <c r="H390" s="4">
        <f t="shared" si="30"/>
        <v>22</v>
      </c>
      <c r="I390">
        <f t="shared" ref="I390:I403" si="33">LEN(B390)</f>
        <v>27</v>
      </c>
    </row>
    <row r="391" spans="2:9" x14ac:dyDescent="0.35">
      <c r="B391" s="1" t="s">
        <v>323</v>
      </c>
      <c r="C391" s="1"/>
      <c r="D391" t="str">
        <f t="shared" si="32"/>
        <v>d86684</v>
      </c>
      <c r="E391" s="1" t="str">
        <f t="shared" si="31"/>
        <v xml:space="preserve">MILWAUKEE BEST 2/15PK </v>
      </c>
      <c r="F391" s="1" t="str">
        <f t="shared" ref="F391:F403" si="34">TRIM(RIGHT(B391,I391-H391))</f>
        <v>12OZ</v>
      </c>
      <c r="G391" s="3"/>
      <c r="H391" s="4">
        <f t="shared" si="30"/>
        <v>31</v>
      </c>
      <c r="I391">
        <f t="shared" si="33"/>
        <v>36</v>
      </c>
    </row>
    <row r="392" spans="2:9" x14ac:dyDescent="0.35">
      <c r="B392" s="1" t="s">
        <v>324</v>
      </c>
      <c r="C392" s="1"/>
      <c r="D392" t="str">
        <f t="shared" si="32"/>
        <v>e29778</v>
      </c>
      <c r="E392" s="1" t="str">
        <f t="shared" si="31"/>
        <v xml:space="preserve">BUD 18PK 16OZ </v>
      </c>
      <c r="F392" s="1" t="str">
        <f t="shared" si="34"/>
        <v>16OZ</v>
      </c>
      <c r="G392" s="3"/>
      <c r="H392" s="4">
        <f t="shared" si="30"/>
        <v>23</v>
      </c>
      <c r="I392">
        <f t="shared" si="33"/>
        <v>28</v>
      </c>
    </row>
    <row r="393" spans="2:9" x14ac:dyDescent="0.35">
      <c r="B393" s="1" t="s">
        <v>363</v>
      </c>
      <c r="C393" s="1"/>
      <c r="D393" t="str">
        <f t="shared" si="32"/>
        <v>f81989</v>
      </c>
      <c r="E393" s="1" t="str">
        <f t="shared" si="31"/>
        <v>GOOSE ISLAND IPA 4PK</v>
      </c>
      <c r="F393" s="1" t="str">
        <f t="shared" si="34"/>
        <v>16OZ</v>
      </c>
      <c r="G393" s="3"/>
      <c r="H393" s="4">
        <f t="shared" si="30"/>
        <v>29</v>
      </c>
      <c r="I393">
        <f t="shared" si="33"/>
        <v>35</v>
      </c>
    </row>
    <row r="394" spans="2:9" x14ac:dyDescent="0.35">
      <c r="B394" s="1" t="s">
        <v>238</v>
      </c>
      <c r="C394" s="1"/>
      <c r="D394" t="str">
        <f t="shared" si="32"/>
        <v>g46966</v>
      </c>
      <c r="E394" s="1" t="str">
        <f t="shared" si="31"/>
        <v>KALIBER BREW NA 4/6 NR</v>
      </c>
      <c r="F394" s="1" t="str">
        <f t="shared" si="34"/>
        <v>12OZ</v>
      </c>
      <c r="G394" s="3"/>
      <c r="H394" s="4">
        <f t="shared" si="30"/>
        <v>31</v>
      </c>
      <c r="I394">
        <f t="shared" si="33"/>
        <v>36</v>
      </c>
    </row>
    <row r="395" spans="2:9" x14ac:dyDescent="0.35">
      <c r="B395" s="1" t="s">
        <v>325</v>
      </c>
      <c r="C395" s="1"/>
      <c r="D395" t="str">
        <f t="shared" si="32"/>
        <v>h90339</v>
      </c>
      <c r="E395" s="1" t="str">
        <f t="shared" si="31"/>
        <v xml:space="preserve">MILLER GEN DRAFT 2/12 </v>
      </c>
      <c r="F395" s="1" t="str">
        <f t="shared" si="34"/>
        <v>12OZ</v>
      </c>
      <c r="G395" s="3"/>
      <c r="H395" s="4">
        <f t="shared" si="30"/>
        <v>31</v>
      </c>
      <c r="I395">
        <f t="shared" si="33"/>
        <v>36</v>
      </c>
    </row>
    <row r="396" spans="2:9" x14ac:dyDescent="0.35">
      <c r="B396" s="1" t="s">
        <v>239</v>
      </c>
      <c r="C396" s="1"/>
      <c r="D396" t="str">
        <f t="shared" si="32"/>
        <v>i56916</v>
      </c>
      <c r="E396" s="1" t="str">
        <f t="shared" si="31"/>
        <v>HEINEKEN LOOSE NR</v>
      </c>
      <c r="F396" s="1" t="str">
        <f t="shared" si="34"/>
        <v>12OZ</v>
      </c>
      <c r="G396" s="3"/>
      <c r="H396" s="4">
        <f t="shared" si="30"/>
        <v>26</v>
      </c>
      <c r="I396">
        <f t="shared" si="33"/>
        <v>31</v>
      </c>
    </row>
    <row r="397" spans="2:9" x14ac:dyDescent="0.35">
      <c r="B397" s="1" t="s">
        <v>326</v>
      </c>
      <c r="C397" s="1"/>
      <c r="D397" t="str">
        <f t="shared" si="32"/>
        <v>j55259</v>
      </c>
      <c r="E397" s="1" t="str">
        <f t="shared" si="31"/>
        <v>MODELO ESPECIAL SUITCASE S</v>
      </c>
      <c r="F397" s="1" t="str">
        <f t="shared" si="34"/>
        <v>12OZ</v>
      </c>
      <c r="G397" s="3"/>
      <c r="H397" s="4">
        <f t="shared" si="30"/>
        <v>35</v>
      </c>
      <c r="I397">
        <f t="shared" si="33"/>
        <v>40</v>
      </c>
    </row>
    <row r="398" spans="2:9" x14ac:dyDescent="0.35">
      <c r="B398" s="1" t="s">
        <v>240</v>
      </c>
      <c r="C398" s="1"/>
      <c r="D398" t="str">
        <f t="shared" si="32"/>
        <v>k56482</v>
      </c>
      <c r="E398" s="1" t="str">
        <f t="shared" si="31"/>
        <v>STELLA ARTOIS 2/12 NR</v>
      </c>
      <c r="F398" s="1" t="str">
        <f t="shared" si="34"/>
        <v>11.2OZ</v>
      </c>
      <c r="G398" s="3"/>
      <c r="H398" s="4">
        <f t="shared" si="30"/>
        <v>30</v>
      </c>
      <c r="I398">
        <f t="shared" si="33"/>
        <v>37</v>
      </c>
    </row>
    <row r="399" spans="2:9" x14ac:dyDescent="0.35">
      <c r="B399" s="1" t="s">
        <v>241</v>
      </c>
      <c r="C399" s="1"/>
      <c r="D399" t="str">
        <f t="shared" si="32"/>
        <v>l54438</v>
      </c>
      <c r="E399" s="1" t="str">
        <f t="shared" si="31"/>
        <v>ANTINORI CHN CL RES</v>
      </c>
      <c r="F399" s="1" t="str">
        <f t="shared" si="34"/>
        <v>750ML</v>
      </c>
      <c r="G399" s="3"/>
      <c r="H399" s="4">
        <f t="shared" si="30"/>
        <v>28</v>
      </c>
      <c r="I399">
        <f t="shared" si="33"/>
        <v>34</v>
      </c>
    </row>
    <row r="400" spans="2:9" x14ac:dyDescent="0.35">
      <c r="B400" s="1" t="s">
        <v>364</v>
      </c>
      <c r="C400" s="1"/>
      <c r="D400" t="str">
        <f t="shared" si="32"/>
        <v>m74226</v>
      </c>
      <c r="E400" s="1" t="str">
        <f t="shared" si="31"/>
        <v>MODELO ESPECIAL 18PK 12.0Z NR</v>
      </c>
      <c r="F400" s="1" t="str">
        <f t="shared" si="34"/>
        <v>12OZ</v>
      </c>
      <c r="G400" s="3"/>
      <c r="H400" s="4">
        <f t="shared" si="30"/>
        <v>38</v>
      </c>
      <c r="I400">
        <f t="shared" si="33"/>
        <v>42</v>
      </c>
    </row>
    <row r="401" spans="2:9" x14ac:dyDescent="0.35">
      <c r="B401" s="1" t="s">
        <v>242</v>
      </c>
      <c r="C401" s="1"/>
      <c r="D401" t="str">
        <f t="shared" si="32"/>
        <v>n80408</v>
      </c>
      <c r="E401" s="1" t="str">
        <f t="shared" si="31"/>
        <v>MODELO ESPECIAL 2/12 NR</v>
      </c>
      <c r="F401" s="1" t="str">
        <f t="shared" si="34"/>
        <v>12OZ</v>
      </c>
      <c r="G401" s="3"/>
      <c r="H401" s="4">
        <f t="shared" si="30"/>
        <v>32</v>
      </c>
      <c r="I401">
        <f t="shared" si="33"/>
        <v>37</v>
      </c>
    </row>
    <row r="402" spans="2:9" x14ac:dyDescent="0.35">
      <c r="B402" s="1" t="s">
        <v>405</v>
      </c>
      <c r="C402" s="1"/>
      <c r="D402" t="str">
        <f t="shared" si="32"/>
        <v>o57775</v>
      </c>
      <c r="E402" s="1" t="str">
        <f t="shared" si="31"/>
        <v>BRUGAL RUM ANEJO</v>
      </c>
      <c r="F402" s="1" t="str">
        <f t="shared" si="34"/>
        <v>1.75L</v>
      </c>
      <c r="G402" s="3"/>
      <c r="H402" s="4">
        <f t="shared" si="30"/>
        <v>25</v>
      </c>
      <c r="I402">
        <f t="shared" si="33"/>
        <v>31</v>
      </c>
    </row>
    <row r="403" spans="2:9" x14ac:dyDescent="0.35">
      <c r="B403" s="1" t="s">
        <v>243</v>
      </c>
      <c r="C403" s="1"/>
      <c r="D403" t="str">
        <f t="shared" si="32"/>
        <v>p44414</v>
      </c>
      <c r="E403" s="1" t="str">
        <f t="shared" si="31"/>
        <v>CIELO PINOT GRIG DEL VENETO</v>
      </c>
      <c r="F403" s="1" t="str">
        <f t="shared" si="34"/>
        <v>750ML</v>
      </c>
      <c r="G403" s="3"/>
      <c r="H403" s="4">
        <f t="shared" si="30"/>
        <v>36</v>
      </c>
      <c r="I403">
        <f t="shared" si="33"/>
        <v>42</v>
      </c>
    </row>
    <row r="404" spans="2:9" x14ac:dyDescent="0.35">
      <c r="B404" s="1"/>
      <c r="C404" s="1"/>
      <c r="E404" s="1"/>
      <c r="F404" s="1"/>
      <c r="G404" s="3"/>
      <c r="H404" s="4"/>
    </row>
  </sheetData>
  <mergeCells count="1">
    <mergeCell ref="B2:I2"/>
  </mergeCells>
  <pageMargins left="0.7" right="0.7" top="0.75" bottom="0.75" header="0.3" footer="0.3"/>
  <pageSetup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tint="0.59999389629810485"/>
  </sheetPr>
  <dimension ref="B2:N404"/>
  <sheetViews>
    <sheetView zoomScale="80" zoomScaleNormal="80" workbookViewId="0">
      <pane ySplit="23" topLeftCell="A24" activePane="bottomLeft" state="frozen"/>
      <selection pane="bottomLeft" activeCell="D5" sqref="D5"/>
    </sheetView>
  </sheetViews>
  <sheetFormatPr defaultRowHeight="14.5" x14ac:dyDescent="0.35"/>
  <cols>
    <col min="1" max="1" width="5.1796875" customWidth="1"/>
    <col min="2" max="2" width="17.7265625" customWidth="1"/>
    <col min="3" max="3" width="5.1796875" customWidth="1"/>
    <col min="4" max="4" width="49.26953125" bestFit="1" customWidth="1"/>
    <col min="5" max="10" width="12.7265625" customWidth="1"/>
    <col min="11" max="11" width="12.7265625" bestFit="1" customWidth="1"/>
    <col min="12" max="12" width="14.90625" customWidth="1"/>
    <col min="13" max="13" width="14.54296875" customWidth="1"/>
    <col min="14" max="14" width="14.90625" customWidth="1"/>
    <col min="16" max="16" width="5.08984375" customWidth="1"/>
  </cols>
  <sheetData>
    <row r="2" spans="2:14" ht="23.5" x14ac:dyDescent="0.35">
      <c r="B2" s="326" t="s">
        <v>781</v>
      </c>
      <c r="C2" s="327"/>
      <c r="D2" s="327"/>
      <c r="E2" s="327"/>
      <c r="F2" s="327"/>
      <c r="G2" s="327"/>
      <c r="H2" s="327"/>
      <c r="I2" s="327"/>
      <c r="J2" s="327"/>
      <c r="K2" s="327"/>
      <c r="L2" s="327"/>
      <c r="M2" s="327"/>
      <c r="N2" s="328"/>
    </row>
    <row r="4" spans="2:14" ht="32.5" customHeight="1" x14ac:dyDescent="0.35">
      <c r="B4" s="89" t="s">
        <v>764</v>
      </c>
      <c r="D4" s="5" t="s">
        <v>406</v>
      </c>
      <c r="E4" s="5" t="s">
        <v>407</v>
      </c>
      <c r="F4" s="5" t="s">
        <v>19</v>
      </c>
      <c r="G4" s="5" t="s">
        <v>18</v>
      </c>
      <c r="H4" s="5" t="s">
        <v>20</v>
      </c>
      <c r="I4" s="5" t="s">
        <v>714</v>
      </c>
      <c r="J4" s="5" t="s">
        <v>760</v>
      </c>
      <c r="K4" s="5" t="s">
        <v>761</v>
      </c>
      <c r="L4" s="5" t="s">
        <v>763</v>
      </c>
      <c r="M4" s="5" t="s">
        <v>916</v>
      </c>
      <c r="N4" s="5" t="s">
        <v>917</v>
      </c>
    </row>
    <row r="5" spans="2:14" x14ac:dyDescent="0.35">
      <c r="D5" s="1" t="s">
        <v>411</v>
      </c>
      <c r="E5" s="1" t="s">
        <v>711</v>
      </c>
      <c r="F5" t="s">
        <v>9</v>
      </c>
      <c r="G5" s="12">
        <v>129</v>
      </c>
      <c r="H5" s="3">
        <v>72</v>
      </c>
      <c r="I5" s="3">
        <f>G5*H5</f>
        <v>9288</v>
      </c>
      <c r="J5" s="3">
        <f>ROUND((H5*35%)+H5,0)-0.01</f>
        <v>96.99</v>
      </c>
      <c r="K5" s="88">
        <v>114</v>
      </c>
      <c r="L5" s="3">
        <f>K5*J5</f>
        <v>11056.859999999999</v>
      </c>
      <c r="M5" s="3">
        <f>H5*K5</f>
        <v>8208</v>
      </c>
      <c r="N5" s="3">
        <f>L5-M5</f>
        <v>2848.8599999999988</v>
      </c>
    </row>
    <row r="6" spans="2:14" x14ac:dyDescent="0.35">
      <c r="D6" s="1" t="s">
        <v>412</v>
      </c>
      <c r="E6" s="1" t="s">
        <v>712</v>
      </c>
      <c r="F6" t="s">
        <v>9</v>
      </c>
      <c r="G6" s="12">
        <v>306</v>
      </c>
      <c r="H6" s="3">
        <v>60</v>
      </c>
      <c r="I6" s="3">
        <f t="shared" ref="I6:I62" si="0">G6*H6</f>
        <v>18360</v>
      </c>
      <c r="J6" s="3">
        <f t="shared" ref="J6:J69" si="1">ROUND((H6*35%)+H6,0)-0.01</f>
        <v>80.989999999999995</v>
      </c>
      <c r="K6" s="88">
        <v>111</v>
      </c>
      <c r="L6" s="3">
        <f t="shared" ref="L6:L69" si="2">K6*J6</f>
        <v>8989.89</v>
      </c>
      <c r="M6" s="3">
        <f t="shared" ref="M6:M69" si="3">H6*K6</f>
        <v>6660</v>
      </c>
      <c r="N6" s="3">
        <f t="shared" ref="N6:N69" si="4">L6-M6</f>
        <v>2329.8899999999994</v>
      </c>
    </row>
    <row r="7" spans="2:14" x14ac:dyDescent="0.35">
      <c r="D7" s="94" t="s">
        <v>413</v>
      </c>
      <c r="E7" s="1" t="s">
        <v>886</v>
      </c>
      <c r="F7" t="s">
        <v>333</v>
      </c>
      <c r="G7" s="12">
        <v>493</v>
      </c>
      <c r="H7" s="3">
        <v>63</v>
      </c>
      <c r="I7" s="3">
        <f t="shared" si="0"/>
        <v>31059</v>
      </c>
      <c r="J7" s="3">
        <f t="shared" si="1"/>
        <v>84.99</v>
      </c>
      <c r="K7" s="88">
        <v>486</v>
      </c>
      <c r="L7" s="3">
        <f t="shared" si="2"/>
        <v>41305.14</v>
      </c>
      <c r="M7" s="3">
        <f t="shared" si="3"/>
        <v>30618</v>
      </c>
      <c r="N7" s="3">
        <f t="shared" si="4"/>
        <v>10687.14</v>
      </c>
    </row>
    <row r="8" spans="2:14" x14ac:dyDescent="0.35">
      <c r="D8" s="94" t="s">
        <v>414</v>
      </c>
      <c r="E8" s="1" t="s">
        <v>711</v>
      </c>
      <c r="F8" t="s">
        <v>14</v>
      </c>
      <c r="G8" s="12">
        <v>480</v>
      </c>
      <c r="H8" s="3">
        <v>41</v>
      </c>
      <c r="I8" s="3">
        <f t="shared" si="0"/>
        <v>19680</v>
      </c>
      <c r="J8" s="3">
        <f t="shared" si="1"/>
        <v>54.99</v>
      </c>
      <c r="K8" s="88">
        <v>127</v>
      </c>
      <c r="L8" s="3">
        <f t="shared" si="2"/>
        <v>6983.7300000000005</v>
      </c>
      <c r="M8" s="3">
        <f t="shared" si="3"/>
        <v>5207</v>
      </c>
      <c r="N8" s="3">
        <f t="shared" si="4"/>
        <v>1776.7300000000005</v>
      </c>
    </row>
    <row r="9" spans="2:14" x14ac:dyDescent="0.35">
      <c r="D9" s="94" t="s">
        <v>415</v>
      </c>
      <c r="E9" s="1" t="s">
        <v>711</v>
      </c>
      <c r="F9" t="s">
        <v>16</v>
      </c>
      <c r="G9" s="12">
        <v>244</v>
      </c>
      <c r="H9" s="3">
        <v>37</v>
      </c>
      <c r="I9" s="3">
        <f t="shared" si="0"/>
        <v>9028</v>
      </c>
      <c r="J9" s="3">
        <f t="shared" si="1"/>
        <v>49.99</v>
      </c>
      <c r="K9" s="88">
        <v>146</v>
      </c>
      <c r="L9" s="3">
        <f t="shared" si="2"/>
        <v>7298.54</v>
      </c>
      <c r="M9" s="3">
        <f t="shared" si="3"/>
        <v>5402</v>
      </c>
      <c r="N9" s="3">
        <f t="shared" si="4"/>
        <v>1896.54</v>
      </c>
    </row>
    <row r="10" spans="2:14" x14ac:dyDescent="0.35">
      <c r="D10" s="94" t="s">
        <v>416</v>
      </c>
      <c r="E10" s="1" t="s">
        <v>885</v>
      </c>
      <c r="F10" t="s">
        <v>17</v>
      </c>
      <c r="G10" s="12">
        <v>308</v>
      </c>
      <c r="H10" s="3">
        <v>123</v>
      </c>
      <c r="I10" s="3">
        <f t="shared" si="0"/>
        <v>37884</v>
      </c>
      <c r="J10" s="3">
        <f t="shared" si="1"/>
        <v>165.99</v>
      </c>
      <c r="K10" s="88">
        <v>137</v>
      </c>
      <c r="L10" s="3">
        <f t="shared" si="2"/>
        <v>22740.63</v>
      </c>
      <c r="M10" s="3">
        <f t="shared" si="3"/>
        <v>16851</v>
      </c>
      <c r="N10" s="3">
        <f t="shared" si="4"/>
        <v>5889.630000000001</v>
      </c>
    </row>
    <row r="11" spans="2:14" x14ac:dyDescent="0.35">
      <c r="D11" s="94" t="s">
        <v>417</v>
      </c>
      <c r="E11" s="1" t="s">
        <v>711</v>
      </c>
      <c r="F11" t="s">
        <v>16</v>
      </c>
      <c r="G11" s="12">
        <v>108</v>
      </c>
      <c r="H11" s="3">
        <v>37</v>
      </c>
      <c r="I11" s="3">
        <f t="shared" si="0"/>
        <v>3996</v>
      </c>
      <c r="J11" s="3">
        <f t="shared" si="1"/>
        <v>49.99</v>
      </c>
      <c r="K11" s="88">
        <v>100</v>
      </c>
      <c r="L11" s="3">
        <f t="shared" si="2"/>
        <v>4999</v>
      </c>
      <c r="M11" s="3">
        <f t="shared" si="3"/>
        <v>3700</v>
      </c>
      <c r="N11" s="3">
        <f t="shared" si="4"/>
        <v>1299</v>
      </c>
    </row>
    <row r="12" spans="2:14" x14ac:dyDescent="0.35">
      <c r="D12" s="94" t="s">
        <v>418</v>
      </c>
      <c r="E12" s="1" t="s">
        <v>712</v>
      </c>
      <c r="F12" t="s">
        <v>333</v>
      </c>
      <c r="G12" s="12">
        <v>306</v>
      </c>
      <c r="H12" s="3">
        <v>54</v>
      </c>
      <c r="I12" s="3">
        <f t="shared" si="0"/>
        <v>16524</v>
      </c>
      <c r="J12" s="3">
        <f t="shared" si="1"/>
        <v>72.989999999999995</v>
      </c>
      <c r="K12" s="88">
        <v>257</v>
      </c>
      <c r="L12" s="3">
        <f t="shared" si="2"/>
        <v>18758.43</v>
      </c>
      <c r="M12" s="3">
        <f t="shared" si="3"/>
        <v>13878</v>
      </c>
      <c r="N12" s="3">
        <f t="shared" si="4"/>
        <v>4880.43</v>
      </c>
    </row>
    <row r="13" spans="2:14" x14ac:dyDescent="0.35">
      <c r="D13" s="259" t="s">
        <v>419</v>
      </c>
      <c r="E13" s="1" t="s">
        <v>885</v>
      </c>
      <c r="F13" t="s">
        <v>10</v>
      </c>
      <c r="G13" s="12">
        <v>330</v>
      </c>
      <c r="H13" s="3">
        <v>123</v>
      </c>
      <c r="I13" s="3">
        <f t="shared" si="0"/>
        <v>40590</v>
      </c>
      <c r="J13" s="3">
        <f t="shared" si="1"/>
        <v>165.99</v>
      </c>
      <c r="K13" s="88">
        <v>173</v>
      </c>
      <c r="L13" s="3">
        <f t="shared" si="2"/>
        <v>28716.27</v>
      </c>
      <c r="M13" s="3">
        <f t="shared" si="3"/>
        <v>21279</v>
      </c>
      <c r="N13" s="3">
        <f t="shared" si="4"/>
        <v>7437.27</v>
      </c>
    </row>
    <row r="14" spans="2:14" x14ac:dyDescent="0.35">
      <c r="D14" s="259" t="s">
        <v>420</v>
      </c>
      <c r="E14" s="1" t="s">
        <v>711</v>
      </c>
      <c r="F14" t="s">
        <v>14</v>
      </c>
      <c r="G14" s="12">
        <v>451</v>
      </c>
      <c r="H14" s="3">
        <v>92</v>
      </c>
      <c r="I14" s="3">
        <f t="shared" si="0"/>
        <v>41492</v>
      </c>
      <c r="J14" s="3">
        <f t="shared" si="1"/>
        <v>123.99</v>
      </c>
      <c r="K14" s="88">
        <v>328</v>
      </c>
      <c r="L14" s="3">
        <f t="shared" si="2"/>
        <v>40668.720000000001</v>
      </c>
      <c r="M14" s="3">
        <f t="shared" si="3"/>
        <v>30176</v>
      </c>
      <c r="N14" s="3">
        <f t="shared" si="4"/>
        <v>10492.720000000001</v>
      </c>
    </row>
    <row r="15" spans="2:14" x14ac:dyDescent="0.35">
      <c r="D15" s="260" t="s">
        <v>421</v>
      </c>
      <c r="E15" s="1" t="s">
        <v>885</v>
      </c>
      <c r="F15" t="s">
        <v>13</v>
      </c>
      <c r="G15" s="12">
        <v>172</v>
      </c>
      <c r="H15" s="3">
        <v>12</v>
      </c>
      <c r="I15" s="3">
        <f t="shared" si="0"/>
        <v>2064</v>
      </c>
      <c r="J15" s="3">
        <f t="shared" si="1"/>
        <v>15.99</v>
      </c>
      <c r="K15" s="88">
        <v>120</v>
      </c>
      <c r="L15" s="3">
        <f t="shared" si="2"/>
        <v>1918.8</v>
      </c>
      <c r="M15" s="3">
        <f t="shared" si="3"/>
        <v>1440</v>
      </c>
      <c r="N15" s="3">
        <f t="shared" si="4"/>
        <v>478.79999999999995</v>
      </c>
    </row>
    <row r="16" spans="2:14" x14ac:dyDescent="0.35">
      <c r="D16" s="1" t="s">
        <v>422</v>
      </c>
      <c r="E16" s="1" t="s">
        <v>711</v>
      </c>
      <c r="F16" t="s">
        <v>13</v>
      </c>
      <c r="G16" s="12">
        <v>189</v>
      </c>
      <c r="H16" s="3">
        <v>16</v>
      </c>
      <c r="I16" s="3">
        <f t="shared" si="0"/>
        <v>3024</v>
      </c>
      <c r="J16" s="3">
        <f t="shared" si="1"/>
        <v>21.99</v>
      </c>
      <c r="K16" s="88">
        <v>182</v>
      </c>
      <c r="L16" s="3">
        <f t="shared" si="2"/>
        <v>4002.18</v>
      </c>
      <c r="M16" s="3">
        <f t="shared" si="3"/>
        <v>2912</v>
      </c>
      <c r="N16" s="3">
        <f t="shared" si="4"/>
        <v>1090.1799999999998</v>
      </c>
    </row>
    <row r="17" spans="2:14" x14ac:dyDescent="0.35">
      <c r="D17" s="1" t="s">
        <v>423</v>
      </c>
      <c r="E17" s="1" t="s">
        <v>711</v>
      </c>
      <c r="F17" t="s">
        <v>17</v>
      </c>
      <c r="G17" s="12">
        <v>375</v>
      </c>
      <c r="H17" s="3">
        <v>144</v>
      </c>
      <c r="I17" s="3">
        <f t="shared" si="0"/>
        <v>54000</v>
      </c>
      <c r="J17" s="3">
        <f t="shared" si="1"/>
        <v>193.99</v>
      </c>
      <c r="K17" s="88">
        <v>198</v>
      </c>
      <c r="L17" s="3">
        <f t="shared" si="2"/>
        <v>38410.020000000004</v>
      </c>
      <c r="M17" s="3">
        <f t="shared" si="3"/>
        <v>28512</v>
      </c>
      <c r="N17" s="3">
        <f t="shared" si="4"/>
        <v>9898.0200000000041</v>
      </c>
    </row>
    <row r="18" spans="2:14" x14ac:dyDescent="0.35">
      <c r="D18" s="1" t="s">
        <v>424</v>
      </c>
      <c r="E18" s="1" t="s">
        <v>885</v>
      </c>
      <c r="F18" t="s">
        <v>14</v>
      </c>
      <c r="G18" s="12">
        <v>425</v>
      </c>
      <c r="H18" s="3">
        <v>88</v>
      </c>
      <c r="I18" s="3">
        <f t="shared" si="0"/>
        <v>37400</v>
      </c>
      <c r="J18" s="3">
        <f t="shared" si="1"/>
        <v>118.99</v>
      </c>
      <c r="K18" s="88">
        <v>162</v>
      </c>
      <c r="L18" s="3">
        <f t="shared" si="2"/>
        <v>19276.379999999997</v>
      </c>
      <c r="M18" s="3">
        <f t="shared" si="3"/>
        <v>14256</v>
      </c>
      <c r="N18" s="3">
        <f t="shared" si="4"/>
        <v>5020.3799999999974</v>
      </c>
    </row>
    <row r="19" spans="2:14" x14ac:dyDescent="0.35">
      <c r="D19" s="1" t="s">
        <v>425</v>
      </c>
      <c r="E19" s="1" t="s">
        <v>887</v>
      </c>
      <c r="F19" t="s">
        <v>13</v>
      </c>
      <c r="G19" s="12">
        <v>311</v>
      </c>
      <c r="H19" s="3">
        <v>23</v>
      </c>
      <c r="I19" s="3">
        <f t="shared" si="0"/>
        <v>7153</v>
      </c>
      <c r="J19" s="3">
        <f t="shared" si="1"/>
        <v>30.99</v>
      </c>
      <c r="K19" s="88">
        <v>272</v>
      </c>
      <c r="L19" s="3">
        <f t="shared" si="2"/>
        <v>8429.2799999999988</v>
      </c>
      <c r="M19" s="3">
        <f t="shared" si="3"/>
        <v>6256</v>
      </c>
      <c r="N19" s="3">
        <f t="shared" si="4"/>
        <v>2173.2799999999988</v>
      </c>
    </row>
    <row r="20" spans="2:14" ht="15" thickBot="1" x14ac:dyDescent="0.4">
      <c r="D20" s="1" t="s">
        <v>426</v>
      </c>
      <c r="E20" s="1" t="s">
        <v>711</v>
      </c>
      <c r="F20" t="s">
        <v>10</v>
      </c>
      <c r="G20" s="12">
        <v>232</v>
      </c>
      <c r="H20" s="3">
        <v>96</v>
      </c>
      <c r="I20" s="3">
        <f t="shared" si="0"/>
        <v>22272</v>
      </c>
      <c r="J20" s="3">
        <f t="shared" si="1"/>
        <v>129.99</v>
      </c>
      <c r="K20" s="88">
        <v>148</v>
      </c>
      <c r="L20" s="3">
        <f t="shared" si="2"/>
        <v>19238.52</v>
      </c>
      <c r="M20" s="3">
        <f t="shared" si="3"/>
        <v>14208</v>
      </c>
      <c r="N20" s="3">
        <f t="shared" si="4"/>
        <v>5030.5200000000004</v>
      </c>
    </row>
    <row r="21" spans="2:14" x14ac:dyDescent="0.35">
      <c r="B21" s="249" t="s">
        <v>883</v>
      </c>
      <c r="D21" s="1" t="s">
        <v>427</v>
      </c>
      <c r="E21" s="1" t="s">
        <v>711</v>
      </c>
      <c r="F21" t="s">
        <v>10</v>
      </c>
      <c r="G21" s="12">
        <v>481</v>
      </c>
      <c r="H21" s="3">
        <v>123</v>
      </c>
      <c r="I21" s="3">
        <f t="shared" si="0"/>
        <v>59163</v>
      </c>
      <c r="J21" s="3">
        <f t="shared" si="1"/>
        <v>165.99</v>
      </c>
      <c r="K21" s="88">
        <v>397</v>
      </c>
      <c r="L21" s="3">
        <f t="shared" si="2"/>
        <v>65898.03</v>
      </c>
      <c r="M21" s="3">
        <f t="shared" si="3"/>
        <v>48831</v>
      </c>
      <c r="N21" s="3">
        <f t="shared" si="4"/>
        <v>17067.03</v>
      </c>
    </row>
    <row r="22" spans="2:14" ht="15" thickBot="1" x14ac:dyDescent="0.4">
      <c r="B22" s="250" t="s">
        <v>889</v>
      </c>
      <c r="D22" s="1" t="s">
        <v>428</v>
      </c>
      <c r="E22" s="1" t="s">
        <v>885</v>
      </c>
      <c r="F22" t="s">
        <v>17</v>
      </c>
      <c r="G22" s="12">
        <v>413</v>
      </c>
      <c r="H22" s="3">
        <v>43</v>
      </c>
      <c r="I22" s="3">
        <f t="shared" si="0"/>
        <v>17759</v>
      </c>
      <c r="J22" s="3">
        <f t="shared" si="1"/>
        <v>57.99</v>
      </c>
      <c r="K22" s="88">
        <v>358</v>
      </c>
      <c r="L22" s="3">
        <f t="shared" si="2"/>
        <v>20760.420000000002</v>
      </c>
      <c r="M22" s="3">
        <f t="shared" si="3"/>
        <v>15394</v>
      </c>
      <c r="N22" s="3">
        <f t="shared" si="4"/>
        <v>5366.4200000000019</v>
      </c>
    </row>
    <row r="23" spans="2:14" x14ac:dyDescent="0.35">
      <c r="D23" s="1" t="s">
        <v>429</v>
      </c>
      <c r="E23" s="1" t="s">
        <v>888</v>
      </c>
      <c r="F23" t="s">
        <v>14</v>
      </c>
      <c r="G23" s="12">
        <v>456</v>
      </c>
      <c r="H23" s="3">
        <v>94</v>
      </c>
      <c r="I23" s="3">
        <f t="shared" si="0"/>
        <v>42864</v>
      </c>
      <c r="J23" s="3">
        <f t="shared" si="1"/>
        <v>126.99</v>
      </c>
      <c r="K23" s="88">
        <v>444</v>
      </c>
      <c r="L23" s="3">
        <f t="shared" si="2"/>
        <v>56383.56</v>
      </c>
      <c r="M23" s="3">
        <f t="shared" si="3"/>
        <v>41736</v>
      </c>
      <c r="N23" s="3">
        <f t="shared" si="4"/>
        <v>14647.559999999998</v>
      </c>
    </row>
    <row r="24" spans="2:14" x14ac:dyDescent="0.35">
      <c r="D24" s="1" t="s">
        <v>430</v>
      </c>
      <c r="E24" s="1" t="s">
        <v>711</v>
      </c>
      <c r="F24" t="s">
        <v>17</v>
      </c>
      <c r="G24" s="12">
        <v>480</v>
      </c>
      <c r="H24" s="3">
        <v>22</v>
      </c>
      <c r="I24" s="3">
        <f t="shared" si="0"/>
        <v>10560</v>
      </c>
      <c r="J24" s="3">
        <f t="shared" si="1"/>
        <v>29.99</v>
      </c>
      <c r="K24" s="88">
        <v>356</v>
      </c>
      <c r="L24" s="3">
        <f t="shared" si="2"/>
        <v>10676.439999999999</v>
      </c>
      <c r="M24" s="3">
        <f t="shared" si="3"/>
        <v>7832</v>
      </c>
      <c r="N24" s="3">
        <f t="shared" si="4"/>
        <v>2844.4399999999987</v>
      </c>
    </row>
    <row r="25" spans="2:14" x14ac:dyDescent="0.35">
      <c r="D25" s="1" t="s">
        <v>431</v>
      </c>
      <c r="E25" s="1" t="s">
        <v>889</v>
      </c>
      <c r="F25" t="s">
        <v>17</v>
      </c>
      <c r="G25" s="12">
        <v>245</v>
      </c>
      <c r="H25" s="3">
        <v>126</v>
      </c>
      <c r="I25" s="3">
        <f t="shared" si="0"/>
        <v>30870</v>
      </c>
      <c r="J25" s="3">
        <f t="shared" si="1"/>
        <v>169.99</v>
      </c>
      <c r="K25" s="88">
        <v>198</v>
      </c>
      <c r="L25" s="3">
        <f t="shared" si="2"/>
        <v>33658.020000000004</v>
      </c>
      <c r="M25" s="3">
        <f t="shared" si="3"/>
        <v>24948</v>
      </c>
      <c r="N25" s="3">
        <f t="shared" si="4"/>
        <v>8710.0200000000041</v>
      </c>
    </row>
    <row r="26" spans="2:14" x14ac:dyDescent="0.35">
      <c r="D26" s="1" t="s">
        <v>432</v>
      </c>
      <c r="E26" s="1" t="s">
        <v>889</v>
      </c>
      <c r="F26" t="s">
        <v>16</v>
      </c>
      <c r="G26" s="12">
        <v>428</v>
      </c>
      <c r="H26" s="3">
        <v>62</v>
      </c>
      <c r="I26" s="3">
        <f t="shared" si="0"/>
        <v>26536</v>
      </c>
      <c r="J26" s="3">
        <f t="shared" si="1"/>
        <v>83.99</v>
      </c>
      <c r="K26" s="88">
        <v>111</v>
      </c>
      <c r="L26" s="3">
        <f t="shared" si="2"/>
        <v>9322.89</v>
      </c>
      <c r="M26" s="3">
        <f t="shared" si="3"/>
        <v>6882</v>
      </c>
      <c r="N26" s="3">
        <f t="shared" si="4"/>
        <v>2440.8899999999994</v>
      </c>
    </row>
    <row r="27" spans="2:14" x14ac:dyDescent="0.35">
      <c r="D27" s="1" t="s">
        <v>433</v>
      </c>
      <c r="E27" s="1" t="s">
        <v>711</v>
      </c>
      <c r="F27" t="s">
        <v>13</v>
      </c>
      <c r="G27" s="12">
        <v>476</v>
      </c>
      <c r="H27" s="3">
        <v>126</v>
      </c>
      <c r="I27" s="3">
        <f t="shared" si="0"/>
        <v>59976</v>
      </c>
      <c r="J27" s="3">
        <f t="shared" si="1"/>
        <v>169.99</v>
      </c>
      <c r="K27" s="88">
        <v>381</v>
      </c>
      <c r="L27" s="3">
        <f t="shared" si="2"/>
        <v>64766.19</v>
      </c>
      <c r="M27" s="3">
        <f t="shared" si="3"/>
        <v>48006</v>
      </c>
      <c r="N27" s="3">
        <f t="shared" si="4"/>
        <v>16760.190000000002</v>
      </c>
    </row>
    <row r="28" spans="2:14" x14ac:dyDescent="0.35">
      <c r="D28" s="1" t="s">
        <v>434</v>
      </c>
      <c r="E28" s="1" t="s">
        <v>885</v>
      </c>
      <c r="F28" t="s">
        <v>17</v>
      </c>
      <c r="G28" s="12">
        <v>398</v>
      </c>
      <c r="H28" s="3">
        <v>96</v>
      </c>
      <c r="I28" s="3">
        <f t="shared" si="0"/>
        <v>38208</v>
      </c>
      <c r="J28" s="3">
        <f t="shared" si="1"/>
        <v>129.99</v>
      </c>
      <c r="K28" s="88">
        <v>364</v>
      </c>
      <c r="L28" s="3">
        <f t="shared" si="2"/>
        <v>47316.36</v>
      </c>
      <c r="M28" s="3">
        <f t="shared" si="3"/>
        <v>34944</v>
      </c>
      <c r="N28" s="3">
        <f t="shared" si="4"/>
        <v>12372.36</v>
      </c>
    </row>
    <row r="29" spans="2:14" x14ac:dyDescent="0.35">
      <c r="D29" s="1" t="s">
        <v>435</v>
      </c>
      <c r="E29" s="1" t="s">
        <v>885</v>
      </c>
      <c r="F29" t="s">
        <v>14</v>
      </c>
      <c r="G29" s="12">
        <v>158</v>
      </c>
      <c r="H29" s="3">
        <v>79</v>
      </c>
      <c r="I29" s="3">
        <f t="shared" si="0"/>
        <v>12482</v>
      </c>
      <c r="J29" s="3">
        <f t="shared" si="1"/>
        <v>106.99</v>
      </c>
      <c r="K29" s="88">
        <v>153</v>
      </c>
      <c r="L29" s="3">
        <f t="shared" si="2"/>
        <v>16369.47</v>
      </c>
      <c r="M29" s="3">
        <f t="shared" si="3"/>
        <v>12087</v>
      </c>
      <c r="N29" s="3">
        <f t="shared" si="4"/>
        <v>4282.4699999999993</v>
      </c>
    </row>
    <row r="30" spans="2:14" x14ac:dyDescent="0.35">
      <c r="D30" s="1" t="s">
        <v>436</v>
      </c>
      <c r="E30" s="1" t="s">
        <v>711</v>
      </c>
      <c r="F30" t="s">
        <v>10</v>
      </c>
      <c r="G30" s="12">
        <v>346</v>
      </c>
      <c r="H30" s="3">
        <v>6</v>
      </c>
      <c r="I30" s="3">
        <f t="shared" si="0"/>
        <v>2076</v>
      </c>
      <c r="J30" s="3">
        <f t="shared" si="1"/>
        <v>7.99</v>
      </c>
      <c r="K30" s="88">
        <v>168</v>
      </c>
      <c r="L30" s="3">
        <f t="shared" si="2"/>
        <v>1342.32</v>
      </c>
      <c r="M30" s="3">
        <f t="shared" si="3"/>
        <v>1008</v>
      </c>
      <c r="N30" s="3">
        <f t="shared" si="4"/>
        <v>334.31999999999994</v>
      </c>
    </row>
    <row r="31" spans="2:14" x14ac:dyDescent="0.35">
      <c r="D31" s="1" t="s">
        <v>437</v>
      </c>
      <c r="E31" s="1" t="s">
        <v>890</v>
      </c>
      <c r="F31" t="s">
        <v>14</v>
      </c>
      <c r="G31" s="12">
        <v>111</v>
      </c>
      <c r="H31" s="3">
        <v>147</v>
      </c>
      <c r="I31" s="3">
        <f t="shared" si="0"/>
        <v>16317</v>
      </c>
      <c r="J31" s="3">
        <f t="shared" si="1"/>
        <v>197.99</v>
      </c>
      <c r="K31" s="88">
        <v>109</v>
      </c>
      <c r="L31" s="3">
        <f t="shared" si="2"/>
        <v>21580.91</v>
      </c>
      <c r="M31" s="3">
        <f t="shared" si="3"/>
        <v>16023</v>
      </c>
      <c r="N31" s="3">
        <f t="shared" si="4"/>
        <v>5557.91</v>
      </c>
    </row>
    <row r="32" spans="2:14" x14ac:dyDescent="0.35">
      <c r="D32" s="1" t="s">
        <v>438</v>
      </c>
      <c r="E32" s="1" t="s">
        <v>711</v>
      </c>
      <c r="F32" t="s">
        <v>11</v>
      </c>
      <c r="G32" s="12">
        <v>356</v>
      </c>
      <c r="H32" s="3">
        <v>70</v>
      </c>
      <c r="I32" s="3">
        <f t="shared" si="0"/>
        <v>24920</v>
      </c>
      <c r="J32" s="3">
        <f t="shared" si="1"/>
        <v>94.99</v>
      </c>
      <c r="K32" s="88">
        <v>228</v>
      </c>
      <c r="L32" s="3">
        <f t="shared" si="2"/>
        <v>21657.719999999998</v>
      </c>
      <c r="M32" s="3">
        <f t="shared" si="3"/>
        <v>15960</v>
      </c>
      <c r="N32" s="3">
        <f t="shared" si="4"/>
        <v>5697.7199999999975</v>
      </c>
    </row>
    <row r="33" spans="4:14" x14ac:dyDescent="0.35">
      <c r="D33" s="1" t="s">
        <v>439</v>
      </c>
      <c r="E33" s="1" t="s">
        <v>711</v>
      </c>
      <c r="F33" t="s">
        <v>17</v>
      </c>
      <c r="G33" s="12">
        <v>244</v>
      </c>
      <c r="H33" s="3">
        <v>53</v>
      </c>
      <c r="I33" s="3">
        <f t="shared" si="0"/>
        <v>12932</v>
      </c>
      <c r="J33" s="3">
        <f t="shared" si="1"/>
        <v>71.989999999999995</v>
      </c>
      <c r="K33" s="88">
        <v>243</v>
      </c>
      <c r="L33" s="3">
        <f t="shared" si="2"/>
        <v>17493.57</v>
      </c>
      <c r="M33" s="3">
        <f t="shared" si="3"/>
        <v>12879</v>
      </c>
      <c r="N33" s="3">
        <f t="shared" si="4"/>
        <v>4614.57</v>
      </c>
    </row>
    <row r="34" spans="4:14" x14ac:dyDescent="0.35">
      <c r="D34" s="1" t="s">
        <v>440</v>
      </c>
      <c r="E34" s="1" t="s">
        <v>885</v>
      </c>
      <c r="F34" t="s">
        <v>16</v>
      </c>
      <c r="G34" s="12">
        <v>415</v>
      </c>
      <c r="H34" s="3">
        <v>77</v>
      </c>
      <c r="I34" s="3">
        <f t="shared" si="0"/>
        <v>31955</v>
      </c>
      <c r="J34" s="3">
        <f t="shared" si="1"/>
        <v>103.99</v>
      </c>
      <c r="K34" s="88">
        <v>243</v>
      </c>
      <c r="L34" s="3">
        <f t="shared" si="2"/>
        <v>25269.57</v>
      </c>
      <c r="M34" s="3">
        <f t="shared" si="3"/>
        <v>18711</v>
      </c>
      <c r="N34" s="3">
        <f t="shared" si="4"/>
        <v>6558.57</v>
      </c>
    </row>
    <row r="35" spans="4:14" x14ac:dyDescent="0.35">
      <c r="D35" s="1" t="s">
        <v>441</v>
      </c>
      <c r="E35" s="1" t="s">
        <v>711</v>
      </c>
      <c r="F35" t="s">
        <v>11</v>
      </c>
      <c r="G35" s="12">
        <v>172</v>
      </c>
      <c r="H35" s="3">
        <v>22</v>
      </c>
      <c r="I35" s="3">
        <f t="shared" si="0"/>
        <v>3784</v>
      </c>
      <c r="J35" s="3">
        <f t="shared" si="1"/>
        <v>29.99</v>
      </c>
      <c r="K35" s="88">
        <v>111</v>
      </c>
      <c r="L35" s="3">
        <f t="shared" si="2"/>
        <v>3328.89</v>
      </c>
      <c r="M35" s="3">
        <f t="shared" si="3"/>
        <v>2442</v>
      </c>
      <c r="N35" s="3">
        <f t="shared" si="4"/>
        <v>886.88999999999987</v>
      </c>
    </row>
    <row r="36" spans="4:14" x14ac:dyDescent="0.35">
      <c r="D36" s="1" t="s">
        <v>442</v>
      </c>
      <c r="E36" s="1" t="s">
        <v>885</v>
      </c>
      <c r="F36" t="s">
        <v>16</v>
      </c>
      <c r="G36" s="12">
        <v>246</v>
      </c>
      <c r="H36" s="3">
        <v>53</v>
      </c>
      <c r="I36" s="3">
        <f t="shared" si="0"/>
        <v>13038</v>
      </c>
      <c r="J36" s="3">
        <f t="shared" si="1"/>
        <v>71.989999999999995</v>
      </c>
      <c r="K36" s="88">
        <v>105</v>
      </c>
      <c r="L36" s="3">
        <f t="shared" si="2"/>
        <v>7558.95</v>
      </c>
      <c r="M36" s="3">
        <f t="shared" si="3"/>
        <v>5565</v>
      </c>
      <c r="N36" s="3">
        <f t="shared" si="4"/>
        <v>1993.9499999999998</v>
      </c>
    </row>
    <row r="37" spans="4:14" x14ac:dyDescent="0.35">
      <c r="D37" s="1" t="s">
        <v>443</v>
      </c>
      <c r="E37" s="1" t="s">
        <v>885</v>
      </c>
      <c r="F37" t="s">
        <v>333</v>
      </c>
      <c r="G37" s="12">
        <v>500</v>
      </c>
      <c r="H37" s="3">
        <v>81</v>
      </c>
      <c r="I37" s="3">
        <f t="shared" si="0"/>
        <v>40500</v>
      </c>
      <c r="J37" s="3">
        <f t="shared" si="1"/>
        <v>108.99</v>
      </c>
      <c r="K37" s="88">
        <v>165</v>
      </c>
      <c r="L37" s="3">
        <f t="shared" si="2"/>
        <v>17983.349999999999</v>
      </c>
      <c r="M37" s="3">
        <f t="shared" si="3"/>
        <v>13365</v>
      </c>
      <c r="N37" s="3">
        <f t="shared" si="4"/>
        <v>4618.3499999999985</v>
      </c>
    </row>
    <row r="38" spans="4:14" x14ac:dyDescent="0.35">
      <c r="D38" s="1" t="s">
        <v>444</v>
      </c>
      <c r="E38" s="1" t="s">
        <v>891</v>
      </c>
      <c r="F38" t="s">
        <v>12</v>
      </c>
      <c r="G38" s="12">
        <v>291</v>
      </c>
      <c r="H38" s="3">
        <v>112</v>
      </c>
      <c r="I38" s="3">
        <f t="shared" si="0"/>
        <v>32592</v>
      </c>
      <c r="J38" s="3">
        <f t="shared" si="1"/>
        <v>150.99</v>
      </c>
      <c r="K38" s="88">
        <v>140</v>
      </c>
      <c r="L38" s="3">
        <f t="shared" si="2"/>
        <v>21138.600000000002</v>
      </c>
      <c r="M38" s="3">
        <f t="shared" si="3"/>
        <v>15680</v>
      </c>
      <c r="N38" s="3">
        <f t="shared" si="4"/>
        <v>5458.6000000000022</v>
      </c>
    </row>
    <row r="39" spans="4:14" x14ac:dyDescent="0.35">
      <c r="D39" s="1" t="s">
        <v>437</v>
      </c>
      <c r="E39" s="1" t="s">
        <v>890</v>
      </c>
      <c r="F39" t="s">
        <v>16</v>
      </c>
      <c r="G39" s="12">
        <v>203</v>
      </c>
      <c r="H39" s="3">
        <v>105</v>
      </c>
      <c r="I39" s="3">
        <f t="shared" si="0"/>
        <v>21315</v>
      </c>
      <c r="J39" s="3">
        <f t="shared" si="1"/>
        <v>141.99</v>
      </c>
      <c r="K39" s="88">
        <v>128</v>
      </c>
      <c r="L39" s="3">
        <f t="shared" si="2"/>
        <v>18174.72</v>
      </c>
      <c r="M39" s="3">
        <f t="shared" si="3"/>
        <v>13440</v>
      </c>
      <c r="N39" s="3">
        <f t="shared" si="4"/>
        <v>4734.7200000000012</v>
      </c>
    </row>
    <row r="40" spans="4:14" x14ac:dyDescent="0.35">
      <c r="D40" s="1" t="s">
        <v>445</v>
      </c>
      <c r="E40" s="1" t="s">
        <v>885</v>
      </c>
      <c r="F40" t="s">
        <v>333</v>
      </c>
      <c r="G40" s="12">
        <v>377</v>
      </c>
      <c r="H40" s="3">
        <v>122</v>
      </c>
      <c r="I40" s="3">
        <f t="shared" si="0"/>
        <v>45994</v>
      </c>
      <c r="J40" s="3">
        <f t="shared" si="1"/>
        <v>164.99</v>
      </c>
      <c r="K40" s="88">
        <v>174</v>
      </c>
      <c r="L40" s="3">
        <f t="shared" si="2"/>
        <v>28708.260000000002</v>
      </c>
      <c r="M40" s="3">
        <f t="shared" si="3"/>
        <v>21228</v>
      </c>
      <c r="N40" s="3">
        <f t="shared" si="4"/>
        <v>7480.260000000002</v>
      </c>
    </row>
    <row r="41" spans="4:14" x14ac:dyDescent="0.35">
      <c r="D41" s="1" t="s">
        <v>446</v>
      </c>
      <c r="E41" s="1" t="s">
        <v>711</v>
      </c>
      <c r="F41" t="s">
        <v>12</v>
      </c>
      <c r="G41" s="12">
        <v>295</v>
      </c>
      <c r="H41" s="3">
        <v>141</v>
      </c>
      <c r="I41" s="3">
        <f t="shared" si="0"/>
        <v>41595</v>
      </c>
      <c r="J41" s="3">
        <f t="shared" si="1"/>
        <v>189.99</v>
      </c>
      <c r="K41" s="88">
        <v>265</v>
      </c>
      <c r="L41" s="3">
        <f t="shared" si="2"/>
        <v>50347.350000000006</v>
      </c>
      <c r="M41" s="3">
        <f t="shared" si="3"/>
        <v>37365</v>
      </c>
      <c r="N41" s="3">
        <f t="shared" si="4"/>
        <v>12982.350000000006</v>
      </c>
    </row>
    <row r="42" spans="4:14" x14ac:dyDescent="0.35">
      <c r="D42" s="1" t="s">
        <v>447</v>
      </c>
      <c r="E42" s="1" t="s">
        <v>711</v>
      </c>
      <c r="F42" t="s">
        <v>13</v>
      </c>
      <c r="G42" s="12">
        <v>107</v>
      </c>
      <c r="H42" s="3">
        <v>136</v>
      </c>
      <c r="I42" s="3">
        <f t="shared" si="0"/>
        <v>14552</v>
      </c>
      <c r="J42" s="3">
        <f t="shared" si="1"/>
        <v>183.99</v>
      </c>
      <c r="K42" s="88">
        <v>102</v>
      </c>
      <c r="L42" s="3">
        <f t="shared" si="2"/>
        <v>18766.98</v>
      </c>
      <c r="M42" s="3">
        <f t="shared" si="3"/>
        <v>13872</v>
      </c>
      <c r="N42" s="3">
        <f t="shared" si="4"/>
        <v>4894.9799999999996</v>
      </c>
    </row>
    <row r="43" spans="4:14" x14ac:dyDescent="0.35">
      <c r="D43" s="1" t="s">
        <v>448</v>
      </c>
      <c r="E43" s="1" t="s">
        <v>711</v>
      </c>
      <c r="F43" t="s">
        <v>17</v>
      </c>
      <c r="G43" s="12">
        <v>274</v>
      </c>
      <c r="H43" s="3">
        <v>6</v>
      </c>
      <c r="I43" s="3">
        <f t="shared" si="0"/>
        <v>1644</v>
      </c>
      <c r="J43" s="3">
        <f t="shared" si="1"/>
        <v>7.99</v>
      </c>
      <c r="K43" s="88">
        <v>117</v>
      </c>
      <c r="L43" s="3">
        <f t="shared" si="2"/>
        <v>934.83</v>
      </c>
      <c r="M43" s="3">
        <f t="shared" si="3"/>
        <v>702</v>
      </c>
      <c r="N43" s="3">
        <f t="shared" si="4"/>
        <v>232.83000000000004</v>
      </c>
    </row>
    <row r="44" spans="4:14" x14ac:dyDescent="0.35">
      <c r="D44" s="1" t="s">
        <v>449</v>
      </c>
      <c r="E44" s="1" t="s">
        <v>888</v>
      </c>
      <c r="F44" t="s">
        <v>9</v>
      </c>
      <c r="G44" s="12">
        <v>339</v>
      </c>
      <c r="H44" s="3">
        <v>149</v>
      </c>
      <c r="I44" s="3">
        <f t="shared" si="0"/>
        <v>50511</v>
      </c>
      <c r="J44" s="3">
        <f t="shared" si="1"/>
        <v>200.99</v>
      </c>
      <c r="K44" s="88">
        <v>331</v>
      </c>
      <c r="L44" s="3">
        <f t="shared" si="2"/>
        <v>66527.69</v>
      </c>
      <c r="M44" s="3">
        <f t="shared" si="3"/>
        <v>49319</v>
      </c>
      <c r="N44" s="3">
        <f t="shared" si="4"/>
        <v>17208.690000000002</v>
      </c>
    </row>
    <row r="45" spans="4:14" x14ac:dyDescent="0.35">
      <c r="D45" s="1" t="s">
        <v>450</v>
      </c>
      <c r="E45" s="1" t="s">
        <v>711</v>
      </c>
      <c r="F45" t="s">
        <v>12</v>
      </c>
      <c r="G45" s="12">
        <v>211</v>
      </c>
      <c r="H45" s="3">
        <v>116</v>
      </c>
      <c r="I45" s="3">
        <f t="shared" si="0"/>
        <v>24476</v>
      </c>
      <c r="J45" s="3">
        <f t="shared" si="1"/>
        <v>156.99</v>
      </c>
      <c r="K45" s="88">
        <v>149</v>
      </c>
      <c r="L45" s="3">
        <f t="shared" si="2"/>
        <v>23391.510000000002</v>
      </c>
      <c r="M45" s="3">
        <f t="shared" si="3"/>
        <v>17284</v>
      </c>
      <c r="N45" s="3">
        <f t="shared" si="4"/>
        <v>6107.510000000002</v>
      </c>
    </row>
    <row r="46" spans="4:14" x14ac:dyDescent="0.35">
      <c r="D46" s="1" t="s">
        <v>451</v>
      </c>
      <c r="E46" s="1" t="s">
        <v>888</v>
      </c>
      <c r="F46" t="s">
        <v>15</v>
      </c>
      <c r="G46" s="12">
        <v>207</v>
      </c>
      <c r="H46" s="3">
        <v>137</v>
      </c>
      <c r="I46" s="3">
        <f t="shared" si="0"/>
        <v>28359</v>
      </c>
      <c r="J46" s="3">
        <f t="shared" si="1"/>
        <v>184.99</v>
      </c>
      <c r="K46" s="88">
        <v>125</v>
      </c>
      <c r="L46" s="3">
        <f t="shared" si="2"/>
        <v>23123.75</v>
      </c>
      <c r="M46" s="3">
        <f t="shared" si="3"/>
        <v>17125</v>
      </c>
      <c r="N46" s="3">
        <f t="shared" si="4"/>
        <v>5998.75</v>
      </c>
    </row>
    <row r="47" spans="4:14" x14ac:dyDescent="0.35">
      <c r="D47" s="1" t="s">
        <v>452</v>
      </c>
      <c r="E47" s="1" t="s">
        <v>711</v>
      </c>
      <c r="F47" t="s">
        <v>10</v>
      </c>
      <c r="G47" s="12">
        <v>103</v>
      </c>
      <c r="H47" s="3">
        <v>56</v>
      </c>
      <c r="I47" s="3">
        <f t="shared" si="0"/>
        <v>5768</v>
      </c>
      <c r="J47" s="3">
        <f t="shared" si="1"/>
        <v>75.989999999999995</v>
      </c>
      <c r="K47" s="88">
        <v>103</v>
      </c>
      <c r="L47" s="3">
        <f t="shared" si="2"/>
        <v>7826.9699999999993</v>
      </c>
      <c r="M47" s="3">
        <f t="shared" si="3"/>
        <v>5768</v>
      </c>
      <c r="N47" s="3">
        <f t="shared" si="4"/>
        <v>2058.9699999999993</v>
      </c>
    </row>
    <row r="48" spans="4:14" x14ac:dyDescent="0.35">
      <c r="D48" s="1" t="s">
        <v>453</v>
      </c>
      <c r="E48" s="1" t="s">
        <v>885</v>
      </c>
      <c r="F48" t="s">
        <v>13</v>
      </c>
      <c r="G48" s="12">
        <v>202</v>
      </c>
      <c r="H48" s="3">
        <v>71</v>
      </c>
      <c r="I48" s="3">
        <f t="shared" si="0"/>
        <v>14342</v>
      </c>
      <c r="J48" s="3">
        <f t="shared" si="1"/>
        <v>95.99</v>
      </c>
      <c r="K48" s="88">
        <v>128</v>
      </c>
      <c r="L48" s="3">
        <f t="shared" si="2"/>
        <v>12286.72</v>
      </c>
      <c r="M48" s="3">
        <f t="shared" si="3"/>
        <v>9088</v>
      </c>
      <c r="N48" s="3">
        <f t="shared" si="4"/>
        <v>3198.7199999999993</v>
      </c>
    </row>
    <row r="49" spans="4:14" x14ac:dyDescent="0.35">
      <c r="D49" s="1" t="s">
        <v>454</v>
      </c>
      <c r="E49" s="1" t="s">
        <v>711</v>
      </c>
      <c r="F49" t="s">
        <v>14</v>
      </c>
      <c r="G49" s="12">
        <v>210</v>
      </c>
      <c r="H49" s="3">
        <v>37</v>
      </c>
      <c r="I49" s="3">
        <f t="shared" si="0"/>
        <v>7770</v>
      </c>
      <c r="J49" s="3">
        <f t="shared" si="1"/>
        <v>49.99</v>
      </c>
      <c r="K49" s="88">
        <v>202</v>
      </c>
      <c r="L49" s="3">
        <f t="shared" si="2"/>
        <v>10097.98</v>
      </c>
      <c r="M49" s="3">
        <f t="shared" si="3"/>
        <v>7474</v>
      </c>
      <c r="N49" s="3">
        <f t="shared" si="4"/>
        <v>2623.9799999999996</v>
      </c>
    </row>
    <row r="50" spans="4:14" x14ac:dyDescent="0.35">
      <c r="D50" s="1" t="s">
        <v>455</v>
      </c>
      <c r="E50" s="1" t="s">
        <v>711</v>
      </c>
      <c r="F50" t="s">
        <v>333</v>
      </c>
      <c r="G50" s="12">
        <v>191</v>
      </c>
      <c r="H50" s="3">
        <v>77</v>
      </c>
      <c r="I50" s="3">
        <f t="shared" si="0"/>
        <v>14707</v>
      </c>
      <c r="J50" s="3">
        <f t="shared" si="1"/>
        <v>103.99</v>
      </c>
      <c r="K50" s="88">
        <v>118</v>
      </c>
      <c r="L50" s="3">
        <f t="shared" si="2"/>
        <v>12270.82</v>
      </c>
      <c r="M50" s="3">
        <f t="shared" si="3"/>
        <v>9086</v>
      </c>
      <c r="N50" s="3">
        <f t="shared" si="4"/>
        <v>3184.8199999999997</v>
      </c>
    </row>
    <row r="51" spans="4:14" x14ac:dyDescent="0.35">
      <c r="D51" s="1" t="s">
        <v>456</v>
      </c>
      <c r="E51" s="1" t="s">
        <v>711</v>
      </c>
      <c r="F51" t="s">
        <v>333</v>
      </c>
      <c r="G51" s="12">
        <v>395</v>
      </c>
      <c r="H51" s="3">
        <v>92</v>
      </c>
      <c r="I51" s="3">
        <f t="shared" si="0"/>
        <v>36340</v>
      </c>
      <c r="J51" s="3">
        <f t="shared" si="1"/>
        <v>123.99</v>
      </c>
      <c r="K51" s="88">
        <v>302</v>
      </c>
      <c r="L51" s="3">
        <f t="shared" si="2"/>
        <v>37444.979999999996</v>
      </c>
      <c r="M51" s="3">
        <f t="shared" si="3"/>
        <v>27784</v>
      </c>
      <c r="N51" s="3">
        <f t="shared" si="4"/>
        <v>9660.9799999999959</v>
      </c>
    </row>
    <row r="52" spans="4:14" x14ac:dyDescent="0.35">
      <c r="D52" s="1" t="s">
        <v>457</v>
      </c>
      <c r="E52" s="1" t="s">
        <v>885</v>
      </c>
      <c r="F52" t="s">
        <v>11</v>
      </c>
      <c r="G52" s="12">
        <v>122</v>
      </c>
      <c r="H52" s="3">
        <v>24</v>
      </c>
      <c r="I52" s="3">
        <f t="shared" si="0"/>
        <v>2928</v>
      </c>
      <c r="J52" s="3">
        <f t="shared" si="1"/>
        <v>31.99</v>
      </c>
      <c r="K52" s="88">
        <v>112</v>
      </c>
      <c r="L52" s="3">
        <f t="shared" si="2"/>
        <v>3582.8799999999997</v>
      </c>
      <c r="M52" s="3">
        <f t="shared" si="3"/>
        <v>2688</v>
      </c>
      <c r="N52" s="3">
        <f t="shared" si="4"/>
        <v>894.87999999999965</v>
      </c>
    </row>
    <row r="53" spans="4:14" x14ac:dyDescent="0.35">
      <c r="D53" s="1" t="s">
        <v>458</v>
      </c>
      <c r="E53" s="1" t="s">
        <v>711</v>
      </c>
      <c r="F53" t="s">
        <v>333</v>
      </c>
      <c r="G53" s="12">
        <v>131</v>
      </c>
      <c r="H53" s="3">
        <v>126</v>
      </c>
      <c r="I53" s="3">
        <f t="shared" si="0"/>
        <v>16506</v>
      </c>
      <c r="J53" s="3">
        <f t="shared" si="1"/>
        <v>169.99</v>
      </c>
      <c r="K53" s="88">
        <v>109</v>
      </c>
      <c r="L53" s="3">
        <f t="shared" si="2"/>
        <v>18528.91</v>
      </c>
      <c r="M53" s="3">
        <f t="shared" si="3"/>
        <v>13734</v>
      </c>
      <c r="N53" s="3">
        <f t="shared" si="4"/>
        <v>4794.91</v>
      </c>
    </row>
    <row r="54" spans="4:14" x14ac:dyDescent="0.35">
      <c r="D54" s="1" t="s">
        <v>459</v>
      </c>
      <c r="E54" s="1" t="s">
        <v>711</v>
      </c>
      <c r="F54" t="s">
        <v>17</v>
      </c>
      <c r="G54" s="12">
        <v>381</v>
      </c>
      <c r="H54" s="3">
        <v>50</v>
      </c>
      <c r="I54" s="3">
        <f t="shared" si="0"/>
        <v>19050</v>
      </c>
      <c r="J54" s="3">
        <f t="shared" si="1"/>
        <v>67.989999999999995</v>
      </c>
      <c r="K54" s="88">
        <v>220</v>
      </c>
      <c r="L54" s="3">
        <f t="shared" si="2"/>
        <v>14957.8</v>
      </c>
      <c r="M54" s="3">
        <f t="shared" si="3"/>
        <v>11000</v>
      </c>
      <c r="N54" s="3">
        <f t="shared" si="4"/>
        <v>3957.7999999999993</v>
      </c>
    </row>
    <row r="55" spans="4:14" x14ac:dyDescent="0.35">
      <c r="D55" s="1" t="s">
        <v>414</v>
      </c>
      <c r="E55" s="1" t="s">
        <v>711</v>
      </c>
      <c r="F55" t="s">
        <v>12</v>
      </c>
      <c r="G55" s="12">
        <v>486</v>
      </c>
      <c r="H55" s="3">
        <v>88</v>
      </c>
      <c r="I55" s="3">
        <f t="shared" si="0"/>
        <v>42768</v>
      </c>
      <c r="J55" s="3">
        <f t="shared" si="1"/>
        <v>118.99</v>
      </c>
      <c r="K55" s="88">
        <v>265</v>
      </c>
      <c r="L55" s="3">
        <f t="shared" si="2"/>
        <v>31532.35</v>
      </c>
      <c r="M55" s="3">
        <f t="shared" si="3"/>
        <v>23320</v>
      </c>
      <c r="N55" s="3">
        <f t="shared" si="4"/>
        <v>8212.3499999999985</v>
      </c>
    </row>
    <row r="56" spans="4:14" x14ac:dyDescent="0.35">
      <c r="D56" s="1" t="s">
        <v>460</v>
      </c>
      <c r="E56" s="1" t="s">
        <v>885</v>
      </c>
      <c r="F56" t="s">
        <v>12</v>
      </c>
      <c r="G56" s="12">
        <v>416</v>
      </c>
      <c r="H56" s="3">
        <v>3</v>
      </c>
      <c r="I56" s="3">
        <f t="shared" si="0"/>
        <v>1248</v>
      </c>
      <c r="J56" s="3">
        <f t="shared" si="1"/>
        <v>3.99</v>
      </c>
      <c r="K56" s="88">
        <v>100</v>
      </c>
      <c r="L56" s="3">
        <f t="shared" si="2"/>
        <v>399</v>
      </c>
      <c r="M56" s="3">
        <f t="shared" si="3"/>
        <v>300</v>
      </c>
      <c r="N56" s="3">
        <f t="shared" si="4"/>
        <v>99</v>
      </c>
    </row>
    <row r="57" spans="4:14" x14ac:dyDescent="0.35">
      <c r="D57" s="1" t="s">
        <v>461</v>
      </c>
      <c r="E57" s="1" t="s">
        <v>711</v>
      </c>
      <c r="F57" t="s">
        <v>12</v>
      </c>
      <c r="G57" s="12">
        <v>144</v>
      </c>
      <c r="H57" s="3">
        <v>84</v>
      </c>
      <c r="I57" s="3">
        <f t="shared" si="0"/>
        <v>12096</v>
      </c>
      <c r="J57" s="3">
        <f t="shared" si="1"/>
        <v>112.99</v>
      </c>
      <c r="K57" s="88">
        <v>136</v>
      </c>
      <c r="L57" s="3">
        <f t="shared" si="2"/>
        <v>15366.64</v>
      </c>
      <c r="M57" s="3">
        <f t="shared" si="3"/>
        <v>11424</v>
      </c>
      <c r="N57" s="3">
        <f t="shared" si="4"/>
        <v>3942.6399999999994</v>
      </c>
    </row>
    <row r="58" spans="4:14" x14ac:dyDescent="0.35">
      <c r="D58" s="1" t="s">
        <v>462</v>
      </c>
      <c r="E58" s="1" t="s">
        <v>891</v>
      </c>
      <c r="F58" t="s">
        <v>13</v>
      </c>
      <c r="G58" s="12">
        <v>378</v>
      </c>
      <c r="H58" s="3">
        <v>34</v>
      </c>
      <c r="I58" s="3">
        <f t="shared" si="0"/>
        <v>12852</v>
      </c>
      <c r="J58" s="3">
        <f t="shared" si="1"/>
        <v>45.99</v>
      </c>
      <c r="K58" s="88">
        <v>157</v>
      </c>
      <c r="L58" s="3">
        <f t="shared" si="2"/>
        <v>7220.43</v>
      </c>
      <c r="M58" s="3">
        <f t="shared" si="3"/>
        <v>5338</v>
      </c>
      <c r="N58" s="3">
        <f t="shared" si="4"/>
        <v>1882.4300000000003</v>
      </c>
    </row>
    <row r="59" spans="4:14" x14ac:dyDescent="0.35">
      <c r="D59" s="1" t="s">
        <v>463</v>
      </c>
      <c r="E59" s="1" t="s">
        <v>891</v>
      </c>
      <c r="F59" t="s">
        <v>11</v>
      </c>
      <c r="G59" s="12">
        <v>297</v>
      </c>
      <c r="H59" s="3">
        <v>126</v>
      </c>
      <c r="I59" s="3">
        <f t="shared" si="0"/>
        <v>37422</v>
      </c>
      <c r="J59" s="3">
        <f t="shared" si="1"/>
        <v>169.99</v>
      </c>
      <c r="K59" s="88">
        <v>182</v>
      </c>
      <c r="L59" s="3">
        <f t="shared" si="2"/>
        <v>30938.18</v>
      </c>
      <c r="M59" s="3">
        <f t="shared" si="3"/>
        <v>22932</v>
      </c>
      <c r="N59" s="3">
        <f t="shared" si="4"/>
        <v>8006.18</v>
      </c>
    </row>
    <row r="60" spans="4:14" x14ac:dyDescent="0.35">
      <c r="D60" s="1" t="s">
        <v>464</v>
      </c>
      <c r="E60" s="1" t="s">
        <v>887</v>
      </c>
      <c r="F60" t="s">
        <v>11</v>
      </c>
      <c r="G60" s="12">
        <v>198</v>
      </c>
      <c r="H60" s="3">
        <v>85</v>
      </c>
      <c r="I60" s="3">
        <f t="shared" si="0"/>
        <v>16830</v>
      </c>
      <c r="J60" s="3">
        <f t="shared" si="1"/>
        <v>114.99</v>
      </c>
      <c r="K60" s="88">
        <v>143</v>
      </c>
      <c r="L60" s="3">
        <f t="shared" si="2"/>
        <v>16443.57</v>
      </c>
      <c r="M60" s="3">
        <f t="shared" si="3"/>
        <v>12155</v>
      </c>
      <c r="N60" s="3">
        <f t="shared" si="4"/>
        <v>4288.57</v>
      </c>
    </row>
    <row r="61" spans="4:14" x14ac:dyDescent="0.35">
      <c r="D61" s="1" t="s">
        <v>465</v>
      </c>
      <c r="E61" s="1" t="s">
        <v>711</v>
      </c>
      <c r="F61" t="s">
        <v>13</v>
      </c>
      <c r="G61" s="12">
        <v>486</v>
      </c>
      <c r="H61" s="3">
        <v>48</v>
      </c>
      <c r="I61" s="3">
        <f t="shared" si="0"/>
        <v>23328</v>
      </c>
      <c r="J61" s="3">
        <f t="shared" si="1"/>
        <v>64.989999999999995</v>
      </c>
      <c r="K61" s="88">
        <v>289</v>
      </c>
      <c r="L61" s="3">
        <f t="shared" si="2"/>
        <v>18782.109999999997</v>
      </c>
      <c r="M61" s="3">
        <f t="shared" si="3"/>
        <v>13872</v>
      </c>
      <c r="N61" s="3">
        <f t="shared" si="4"/>
        <v>4910.1099999999969</v>
      </c>
    </row>
    <row r="62" spans="4:14" x14ac:dyDescent="0.35">
      <c r="D62" s="1" t="s">
        <v>466</v>
      </c>
      <c r="E62" s="1" t="s">
        <v>885</v>
      </c>
      <c r="F62" t="s">
        <v>13</v>
      </c>
      <c r="G62" s="12">
        <v>134</v>
      </c>
      <c r="H62" s="3">
        <v>93</v>
      </c>
      <c r="I62" s="3">
        <f t="shared" si="0"/>
        <v>12462</v>
      </c>
      <c r="J62" s="3">
        <f t="shared" si="1"/>
        <v>125.99</v>
      </c>
      <c r="K62" s="88">
        <v>116</v>
      </c>
      <c r="L62" s="3">
        <f t="shared" si="2"/>
        <v>14614.84</v>
      </c>
      <c r="M62" s="3">
        <f t="shared" si="3"/>
        <v>10788</v>
      </c>
      <c r="N62" s="3">
        <f t="shared" si="4"/>
        <v>3826.84</v>
      </c>
    </row>
    <row r="63" spans="4:14" x14ac:dyDescent="0.35">
      <c r="D63" s="1" t="s">
        <v>467</v>
      </c>
      <c r="E63" s="1" t="s">
        <v>887</v>
      </c>
      <c r="F63" t="s">
        <v>13</v>
      </c>
      <c r="G63" s="12">
        <v>439</v>
      </c>
      <c r="H63" s="3">
        <v>77</v>
      </c>
      <c r="I63" s="3">
        <f t="shared" ref="I63:I116" si="5">G63*H63</f>
        <v>33803</v>
      </c>
      <c r="J63" s="3">
        <f t="shared" si="1"/>
        <v>103.99</v>
      </c>
      <c r="K63" s="88">
        <v>362</v>
      </c>
      <c r="L63" s="3">
        <f t="shared" si="2"/>
        <v>37644.379999999997</v>
      </c>
      <c r="M63" s="3">
        <f t="shared" si="3"/>
        <v>27874</v>
      </c>
      <c r="N63" s="3">
        <f t="shared" si="4"/>
        <v>9770.3799999999974</v>
      </c>
    </row>
    <row r="64" spans="4:14" x14ac:dyDescent="0.35">
      <c r="D64" s="1" t="s">
        <v>468</v>
      </c>
      <c r="E64" s="1" t="s">
        <v>885</v>
      </c>
      <c r="F64" t="s">
        <v>333</v>
      </c>
      <c r="G64" s="12">
        <v>404</v>
      </c>
      <c r="H64" s="3">
        <v>59</v>
      </c>
      <c r="I64" s="3">
        <f t="shared" si="5"/>
        <v>23836</v>
      </c>
      <c r="J64" s="3">
        <f t="shared" si="1"/>
        <v>79.989999999999995</v>
      </c>
      <c r="K64" s="88">
        <v>361</v>
      </c>
      <c r="L64" s="3">
        <f t="shared" si="2"/>
        <v>28876.39</v>
      </c>
      <c r="M64" s="3">
        <f t="shared" si="3"/>
        <v>21299</v>
      </c>
      <c r="N64" s="3">
        <f t="shared" si="4"/>
        <v>7577.3899999999994</v>
      </c>
    </row>
    <row r="65" spans="4:14" x14ac:dyDescent="0.35">
      <c r="D65" s="1" t="s">
        <v>469</v>
      </c>
      <c r="E65" s="1" t="s">
        <v>711</v>
      </c>
      <c r="F65" t="s">
        <v>15</v>
      </c>
      <c r="G65" s="12">
        <v>211</v>
      </c>
      <c r="H65" s="3">
        <v>81</v>
      </c>
      <c r="I65" s="3">
        <f t="shared" si="5"/>
        <v>17091</v>
      </c>
      <c r="J65" s="3">
        <f t="shared" si="1"/>
        <v>108.99</v>
      </c>
      <c r="K65" s="88">
        <v>180</v>
      </c>
      <c r="L65" s="3">
        <f t="shared" si="2"/>
        <v>19618.2</v>
      </c>
      <c r="M65" s="3">
        <f t="shared" si="3"/>
        <v>14580</v>
      </c>
      <c r="N65" s="3">
        <f t="shared" si="4"/>
        <v>5038.2000000000007</v>
      </c>
    </row>
    <row r="66" spans="4:14" x14ac:dyDescent="0.35">
      <c r="D66" s="1" t="s">
        <v>470</v>
      </c>
      <c r="E66" s="1" t="s">
        <v>885</v>
      </c>
      <c r="F66" t="s">
        <v>13</v>
      </c>
      <c r="G66" s="12">
        <v>352</v>
      </c>
      <c r="H66" s="3">
        <v>15</v>
      </c>
      <c r="I66" s="3">
        <f t="shared" si="5"/>
        <v>5280</v>
      </c>
      <c r="J66" s="3">
        <f t="shared" si="1"/>
        <v>19.989999999999998</v>
      </c>
      <c r="K66" s="88">
        <v>107</v>
      </c>
      <c r="L66" s="3">
        <f t="shared" si="2"/>
        <v>2138.9299999999998</v>
      </c>
      <c r="M66" s="3">
        <f t="shared" si="3"/>
        <v>1605</v>
      </c>
      <c r="N66" s="3">
        <f t="shared" si="4"/>
        <v>533.92999999999984</v>
      </c>
    </row>
    <row r="67" spans="4:14" x14ac:dyDescent="0.35">
      <c r="D67" s="1" t="s">
        <v>471</v>
      </c>
      <c r="E67" s="1" t="s">
        <v>711</v>
      </c>
      <c r="F67" t="s">
        <v>9</v>
      </c>
      <c r="G67" s="12">
        <v>388</v>
      </c>
      <c r="H67" s="3">
        <v>43</v>
      </c>
      <c r="I67" s="3">
        <f t="shared" si="5"/>
        <v>16684</v>
      </c>
      <c r="J67" s="3">
        <f t="shared" si="1"/>
        <v>57.99</v>
      </c>
      <c r="K67" s="88">
        <v>294</v>
      </c>
      <c r="L67" s="3">
        <f t="shared" si="2"/>
        <v>17049.060000000001</v>
      </c>
      <c r="M67" s="3">
        <f t="shared" si="3"/>
        <v>12642</v>
      </c>
      <c r="N67" s="3">
        <f t="shared" si="4"/>
        <v>4407.0600000000013</v>
      </c>
    </row>
    <row r="68" spans="4:14" x14ac:dyDescent="0.35">
      <c r="D68" s="1" t="s">
        <v>464</v>
      </c>
      <c r="E68" s="1" t="s">
        <v>887</v>
      </c>
      <c r="F68" t="s">
        <v>333</v>
      </c>
      <c r="G68" s="12">
        <v>234</v>
      </c>
      <c r="H68" s="3">
        <v>19</v>
      </c>
      <c r="I68" s="3">
        <f t="shared" si="5"/>
        <v>4446</v>
      </c>
      <c r="J68" s="3">
        <f t="shared" si="1"/>
        <v>25.99</v>
      </c>
      <c r="K68" s="88">
        <v>105</v>
      </c>
      <c r="L68" s="3">
        <f t="shared" si="2"/>
        <v>2728.95</v>
      </c>
      <c r="M68" s="3">
        <f t="shared" si="3"/>
        <v>1995</v>
      </c>
      <c r="N68" s="3">
        <f t="shared" si="4"/>
        <v>733.94999999999982</v>
      </c>
    </row>
    <row r="69" spans="4:14" x14ac:dyDescent="0.35">
      <c r="D69" s="1" t="s">
        <v>472</v>
      </c>
      <c r="E69" s="1" t="s">
        <v>885</v>
      </c>
      <c r="F69" t="s">
        <v>16</v>
      </c>
      <c r="G69" s="12">
        <v>412</v>
      </c>
      <c r="H69" s="3">
        <v>82</v>
      </c>
      <c r="I69" s="3">
        <f t="shared" si="5"/>
        <v>33784</v>
      </c>
      <c r="J69" s="3">
        <f t="shared" si="1"/>
        <v>110.99</v>
      </c>
      <c r="K69" s="88">
        <v>355</v>
      </c>
      <c r="L69" s="3">
        <f t="shared" si="2"/>
        <v>39401.449999999997</v>
      </c>
      <c r="M69" s="3">
        <f t="shared" si="3"/>
        <v>29110</v>
      </c>
      <c r="N69" s="3">
        <f t="shared" si="4"/>
        <v>10291.449999999997</v>
      </c>
    </row>
    <row r="70" spans="4:14" x14ac:dyDescent="0.35">
      <c r="D70" s="1" t="s">
        <v>473</v>
      </c>
      <c r="E70" s="1" t="s">
        <v>711</v>
      </c>
      <c r="F70" t="s">
        <v>12</v>
      </c>
      <c r="G70" s="12">
        <v>100</v>
      </c>
      <c r="H70" s="3">
        <v>89</v>
      </c>
      <c r="I70" s="3">
        <f t="shared" si="5"/>
        <v>8900</v>
      </c>
      <c r="J70" s="3">
        <f t="shared" ref="J70:J133" si="6">ROUND((H70*35%)+H70,0)-0.01</f>
        <v>119.99</v>
      </c>
      <c r="K70" s="88">
        <v>100</v>
      </c>
      <c r="L70" s="3">
        <f t="shared" ref="L70:L133" si="7">K70*J70</f>
        <v>11999</v>
      </c>
      <c r="M70" s="3">
        <f t="shared" ref="M70:M133" si="8">H70*K70</f>
        <v>8900</v>
      </c>
      <c r="N70" s="3">
        <f t="shared" ref="N70:N133" si="9">L70-M70</f>
        <v>3099</v>
      </c>
    </row>
    <row r="71" spans="4:14" x14ac:dyDescent="0.35">
      <c r="D71" s="1" t="s">
        <v>474</v>
      </c>
      <c r="E71" s="1" t="s">
        <v>889</v>
      </c>
      <c r="F71" t="s">
        <v>15</v>
      </c>
      <c r="G71" s="12">
        <v>237</v>
      </c>
      <c r="H71" s="3">
        <v>81</v>
      </c>
      <c r="I71" s="3">
        <f t="shared" si="5"/>
        <v>19197</v>
      </c>
      <c r="J71" s="3">
        <f t="shared" si="6"/>
        <v>108.99</v>
      </c>
      <c r="K71" s="88">
        <v>170</v>
      </c>
      <c r="L71" s="3">
        <f t="shared" si="7"/>
        <v>18528.3</v>
      </c>
      <c r="M71" s="3">
        <f t="shared" si="8"/>
        <v>13770</v>
      </c>
      <c r="N71" s="3">
        <f t="shared" si="9"/>
        <v>4758.2999999999993</v>
      </c>
    </row>
    <row r="72" spans="4:14" x14ac:dyDescent="0.35">
      <c r="D72" s="1" t="s">
        <v>475</v>
      </c>
      <c r="E72" s="1" t="s">
        <v>711</v>
      </c>
      <c r="F72" t="s">
        <v>15</v>
      </c>
      <c r="G72" s="12">
        <v>315</v>
      </c>
      <c r="H72" s="3">
        <v>76</v>
      </c>
      <c r="I72" s="3">
        <f t="shared" si="5"/>
        <v>23940</v>
      </c>
      <c r="J72" s="3">
        <f t="shared" si="6"/>
        <v>102.99</v>
      </c>
      <c r="K72" s="88">
        <v>114</v>
      </c>
      <c r="L72" s="3">
        <f t="shared" si="7"/>
        <v>11740.859999999999</v>
      </c>
      <c r="M72" s="3">
        <f t="shared" si="8"/>
        <v>8664</v>
      </c>
      <c r="N72" s="3">
        <f t="shared" si="9"/>
        <v>3076.8599999999988</v>
      </c>
    </row>
    <row r="73" spans="4:14" x14ac:dyDescent="0.35">
      <c r="D73" s="1" t="s">
        <v>476</v>
      </c>
      <c r="E73" s="1" t="s">
        <v>711</v>
      </c>
      <c r="F73" t="s">
        <v>9</v>
      </c>
      <c r="G73" s="12">
        <v>368</v>
      </c>
      <c r="H73" s="3">
        <v>4</v>
      </c>
      <c r="I73" s="3">
        <f t="shared" si="5"/>
        <v>1472</v>
      </c>
      <c r="J73" s="3">
        <f t="shared" si="6"/>
        <v>4.99</v>
      </c>
      <c r="K73" s="88">
        <v>155</v>
      </c>
      <c r="L73" s="3">
        <f t="shared" si="7"/>
        <v>773.45</v>
      </c>
      <c r="M73" s="3">
        <f t="shared" si="8"/>
        <v>620</v>
      </c>
      <c r="N73" s="3">
        <f t="shared" si="9"/>
        <v>153.45000000000005</v>
      </c>
    </row>
    <row r="74" spans="4:14" x14ac:dyDescent="0.35">
      <c r="D74" s="1" t="s">
        <v>416</v>
      </c>
      <c r="E74" s="1" t="s">
        <v>889</v>
      </c>
      <c r="F74" t="s">
        <v>13</v>
      </c>
      <c r="G74" s="12">
        <v>291</v>
      </c>
      <c r="H74" s="3">
        <v>99</v>
      </c>
      <c r="I74" s="3">
        <f t="shared" si="5"/>
        <v>28809</v>
      </c>
      <c r="J74" s="3">
        <f t="shared" si="6"/>
        <v>133.99</v>
      </c>
      <c r="K74" s="88">
        <v>250</v>
      </c>
      <c r="L74" s="3">
        <f t="shared" si="7"/>
        <v>33497.5</v>
      </c>
      <c r="M74" s="3">
        <f t="shared" si="8"/>
        <v>24750</v>
      </c>
      <c r="N74" s="3">
        <f t="shared" si="9"/>
        <v>8747.5</v>
      </c>
    </row>
    <row r="75" spans="4:14" x14ac:dyDescent="0.35">
      <c r="D75" s="1" t="s">
        <v>447</v>
      </c>
      <c r="E75" s="1" t="s">
        <v>711</v>
      </c>
      <c r="F75" t="s">
        <v>16</v>
      </c>
      <c r="G75" s="12">
        <v>122</v>
      </c>
      <c r="H75" s="3">
        <v>137</v>
      </c>
      <c r="I75" s="3">
        <f t="shared" si="5"/>
        <v>16714</v>
      </c>
      <c r="J75" s="3">
        <f t="shared" si="6"/>
        <v>184.99</v>
      </c>
      <c r="K75" s="88">
        <v>108</v>
      </c>
      <c r="L75" s="3">
        <f t="shared" si="7"/>
        <v>19978.920000000002</v>
      </c>
      <c r="M75" s="3">
        <f t="shared" si="8"/>
        <v>14796</v>
      </c>
      <c r="N75" s="3">
        <f t="shared" si="9"/>
        <v>5182.9200000000019</v>
      </c>
    </row>
    <row r="76" spans="4:14" x14ac:dyDescent="0.35">
      <c r="D76" s="1" t="s">
        <v>477</v>
      </c>
      <c r="E76" s="1" t="s">
        <v>711</v>
      </c>
      <c r="F76" t="s">
        <v>14</v>
      </c>
      <c r="G76" s="12">
        <v>278</v>
      </c>
      <c r="H76" s="3">
        <v>124</v>
      </c>
      <c r="I76" s="3">
        <f t="shared" si="5"/>
        <v>34472</v>
      </c>
      <c r="J76" s="3">
        <f t="shared" si="6"/>
        <v>166.99</v>
      </c>
      <c r="K76" s="88">
        <v>103</v>
      </c>
      <c r="L76" s="3">
        <f t="shared" si="7"/>
        <v>17199.97</v>
      </c>
      <c r="M76" s="3">
        <f t="shared" si="8"/>
        <v>12772</v>
      </c>
      <c r="N76" s="3">
        <f t="shared" si="9"/>
        <v>4427.9700000000012</v>
      </c>
    </row>
    <row r="77" spans="4:14" x14ac:dyDescent="0.35">
      <c r="D77" s="1" t="s">
        <v>478</v>
      </c>
      <c r="E77" s="1" t="s">
        <v>885</v>
      </c>
      <c r="F77" t="s">
        <v>11</v>
      </c>
      <c r="G77" s="12">
        <v>395</v>
      </c>
      <c r="H77" s="3">
        <v>113</v>
      </c>
      <c r="I77" s="3">
        <f t="shared" si="5"/>
        <v>44635</v>
      </c>
      <c r="J77" s="3">
        <f t="shared" si="6"/>
        <v>152.99</v>
      </c>
      <c r="K77" s="88">
        <v>242</v>
      </c>
      <c r="L77" s="3">
        <f t="shared" si="7"/>
        <v>37023.58</v>
      </c>
      <c r="M77" s="3">
        <f t="shared" si="8"/>
        <v>27346</v>
      </c>
      <c r="N77" s="3">
        <f t="shared" si="9"/>
        <v>9677.5800000000017</v>
      </c>
    </row>
    <row r="78" spans="4:14" x14ac:dyDescent="0.35">
      <c r="D78" s="1" t="s">
        <v>479</v>
      </c>
      <c r="E78" s="1" t="s">
        <v>711</v>
      </c>
      <c r="F78" t="s">
        <v>9</v>
      </c>
      <c r="G78" s="12">
        <v>276</v>
      </c>
      <c r="H78" s="3">
        <v>34</v>
      </c>
      <c r="I78" s="3">
        <f t="shared" si="5"/>
        <v>9384</v>
      </c>
      <c r="J78" s="3">
        <f t="shared" si="6"/>
        <v>45.99</v>
      </c>
      <c r="K78" s="88">
        <v>177</v>
      </c>
      <c r="L78" s="3">
        <f t="shared" si="7"/>
        <v>8140.2300000000005</v>
      </c>
      <c r="M78" s="3">
        <f t="shared" si="8"/>
        <v>6018</v>
      </c>
      <c r="N78" s="3">
        <f t="shared" si="9"/>
        <v>2122.2300000000005</v>
      </c>
    </row>
    <row r="79" spans="4:14" x14ac:dyDescent="0.35">
      <c r="D79" s="1" t="s">
        <v>480</v>
      </c>
      <c r="E79" s="1" t="s">
        <v>885</v>
      </c>
      <c r="F79" t="s">
        <v>17</v>
      </c>
      <c r="G79" s="12">
        <v>196</v>
      </c>
      <c r="H79" s="3">
        <v>113</v>
      </c>
      <c r="I79" s="3">
        <f t="shared" si="5"/>
        <v>22148</v>
      </c>
      <c r="J79" s="3">
        <f t="shared" si="6"/>
        <v>152.99</v>
      </c>
      <c r="K79" s="88">
        <v>104</v>
      </c>
      <c r="L79" s="3">
        <f t="shared" si="7"/>
        <v>15910.960000000001</v>
      </c>
      <c r="M79" s="3">
        <f t="shared" si="8"/>
        <v>11752</v>
      </c>
      <c r="N79" s="3">
        <f t="shared" si="9"/>
        <v>4158.9600000000009</v>
      </c>
    </row>
    <row r="80" spans="4:14" x14ac:dyDescent="0.35">
      <c r="D80" s="1" t="s">
        <v>481</v>
      </c>
      <c r="E80" s="1" t="s">
        <v>889</v>
      </c>
      <c r="F80" t="s">
        <v>333</v>
      </c>
      <c r="G80" s="12">
        <v>469</v>
      </c>
      <c r="H80" s="3">
        <v>106</v>
      </c>
      <c r="I80" s="3">
        <f t="shared" si="5"/>
        <v>49714</v>
      </c>
      <c r="J80" s="3">
        <f t="shared" si="6"/>
        <v>142.99</v>
      </c>
      <c r="K80" s="88">
        <v>358</v>
      </c>
      <c r="L80" s="3">
        <f t="shared" si="7"/>
        <v>51190.420000000006</v>
      </c>
      <c r="M80" s="3">
        <f t="shared" si="8"/>
        <v>37948</v>
      </c>
      <c r="N80" s="3">
        <f t="shared" si="9"/>
        <v>13242.420000000006</v>
      </c>
    </row>
    <row r="81" spans="4:14" x14ac:dyDescent="0.35">
      <c r="D81" s="1" t="s">
        <v>482</v>
      </c>
      <c r="E81" s="1" t="s">
        <v>711</v>
      </c>
      <c r="F81" t="s">
        <v>11</v>
      </c>
      <c r="G81" s="12">
        <v>409</v>
      </c>
      <c r="H81" s="3">
        <v>81</v>
      </c>
      <c r="I81" s="3">
        <f t="shared" si="5"/>
        <v>33129</v>
      </c>
      <c r="J81" s="3">
        <f t="shared" si="6"/>
        <v>108.99</v>
      </c>
      <c r="K81" s="88">
        <v>235</v>
      </c>
      <c r="L81" s="3">
        <f t="shared" si="7"/>
        <v>25612.649999999998</v>
      </c>
      <c r="M81" s="3">
        <f t="shared" si="8"/>
        <v>19035</v>
      </c>
      <c r="N81" s="3">
        <f t="shared" si="9"/>
        <v>6577.6499999999978</v>
      </c>
    </row>
    <row r="82" spans="4:14" x14ac:dyDescent="0.35">
      <c r="D82" s="1" t="s">
        <v>483</v>
      </c>
      <c r="E82" s="1" t="s">
        <v>886</v>
      </c>
      <c r="F82" t="s">
        <v>16</v>
      </c>
      <c r="G82" s="12">
        <v>236</v>
      </c>
      <c r="H82" s="3">
        <v>56</v>
      </c>
      <c r="I82" s="3">
        <f t="shared" si="5"/>
        <v>13216</v>
      </c>
      <c r="J82" s="3">
        <f t="shared" si="6"/>
        <v>75.989999999999995</v>
      </c>
      <c r="K82" s="88">
        <v>120</v>
      </c>
      <c r="L82" s="3">
        <f t="shared" si="7"/>
        <v>9118.7999999999993</v>
      </c>
      <c r="M82" s="3">
        <f t="shared" si="8"/>
        <v>6720</v>
      </c>
      <c r="N82" s="3">
        <f t="shared" si="9"/>
        <v>2398.7999999999993</v>
      </c>
    </row>
    <row r="83" spans="4:14" x14ac:dyDescent="0.35">
      <c r="D83" s="1" t="s">
        <v>484</v>
      </c>
      <c r="E83" s="1" t="s">
        <v>889</v>
      </c>
      <c r="F83" t="s">
        <v>14</v>
      </c>
      <c r="G83" s="12">
        <v>299</v>
      </c>
      <c r="H83" s="3">
        <v>71</v>
      </c>
      <c r="I83" s="3">
        <f t="shared" si="5"/>
        <v>21229</v>
      </c>
      <c r="J83" s="3">
        <f t="shared" si="6"/>
        <v>95.99</v>
      </c>
      <c r="K83" s="88">
        <v>108</v>
      </c>
      <c r="L83" s="3">
        <f t="shared" si="7"/>
        <v>10366.92</v>
      </c>
      <c r="M83" s="3">
        <f t="shared" si="8"/>
        <v>7668</v>
      </c>
      <c r="N83" s="3">
        <f t="shared" si="9"/>
        <v>2698.92</v>
      </c>
    </row>
    <row r="84" spans="4:14" x14ac:dyDescent="0.35">
      <c r="D84" s="1" t="s">
        <v>485</v>
      </c>
      <c r="E84" s="1" t="s">
        <v>711</v>
      </c>
      <c r="F84" t="s">
        <v>15</v>
      </c>
      <c r="G84" s="12">
        <v>457</v>
      </c>
      <c r="H84" s="3">
        <v>71</v>
      </c>
      <c r="I84" s="3">
        <f t="shared" si="5"/>
        <v>32447</v>
      </c>
      <c r="J84" s="3">
        <f t="shared" si="6"/>
        <v>95.99</v>
      </c>
      <c r="K84" s="88">
        <v>126</v>
      </c>
      <c r="L84" s="3">
        <f t="shared" si="7"/>
        <v>12094.74</v>
      </c>
      <c r="M84" s="3">
        <f t="shared" si="8"/>
        <v>8946</v>
      </c>
      <c r="N84" s="3">
        <f t="shared" si="9"/>
        <v>3148.74</v>
      </c>
    </row>
    <row r="85" spans="4:14" x14ac:dyDescent="0.35">
      <c r="D85" s="1" t="s">
        <v>452</v>
      </c>
      <c r="E85" s="1" t="s">
        <v>711</v>
      </c>
      <c r="F85" t="s">
        <v>11</v>
      </c>
      <c r="G85" s="12">
        <v>391</v>
      </c>
      <c r="H85" s="3">
        <v>16</v>
      </c>
      <c r="I85" s="3">
        <f t="shared" si="5"/>
        <v>6256</v>
      </c>
      <c r="J85" s="3">
        <f t="shared" si="6"/>
        <v>21.99</v>
      </c>
      <c r="K85" s="88">
        <v>262</v>
      </c>
      <c r="L85" s="3">
        <f t="shared" si="7"/>
        <v>5761.3799999999992</v>
      </c>
      <c r="M85" s="3">
        <f t="shared" si="8"/>
        <v>4192</v>
      </c>
      <c r="N85" s="3">
        <f t="shared" si="9"/>
        <v>1569.3799999999992</v>
      </c>
    </row>
    <row r="86" spans="4:14" x14ac:dyDescent="0.35">
      <c r="D86" s="1" t="s">
        <v>486</v>
      </c>
      <c r="E86" s="1" t="s">
        <v>885</v>
      </c>
      <c r="F86" t="s">
        <v>14</v>
      </c>
      <c r="G86" s="12">
        <v>101</v>
      </c>
      <c r="H86" s="3">
        <v>75</v>
      </c>
      <c r="I86" s="3">
        <f t="shared" si="5"/>
        <v>7575</v>
      </c>
      <c r="J86" s="3">
        <f t="shared" si="6"/>
        <v>100.99</v>
      </c>
      <c r="K86" s="88">
        <v>101</v>
      </c>
      <c r="L86" s="3">
        <f t="shared" si="7"/>
        <v>10199.99</v>
      </c>
      <c r="M86" s="3">
        <f t="shared" si="8"/>
        <v>7575</v>
      </c>
      <c r="N86" s="3">
        <f t="shared" si="9"/>
        <v>2624.99</v>
      </c>
    </row>
    <row r="87" spans="4:14" x14ac:dyDescent="0.35">
      <c r="D87" s="1" t="s">
        <v>487</v>
      </c>
      <c r="E87" s="1" t="s">
        <v>711</v>
      </c>
      <c r="F87" t="s">
        <v>12</v>
      </c>
      <c r="G87" s="12">
        <v>500</v>
      </c>
      <c r="H87" s="3">
        <v>91</v>
      </c>
      <c r="I87" s="3">
        <f t="shared" si="5"/>
        <v>45500</v>
      </c>
      <c r="J87" s="3">
        <f t="shared" si="6"/>
        <v>122.99</v>
      </c>
      <c r="K87" s="88">
        <v>169</v>
      </c>
      <c r="L87" s="3">
        <f t="shared" si="7"/>
        <v>20785.309999999998</v>
      </c>
      <c r="M87" s="3">
        <f t="shared" si="8"/>
        <v>15379</v>
      </c>
      <c r="N87" s="3">
        <f t="shared" si="9"/>
        <v>5406.3099999999977</v>
      </c>
    </row>
    <row r="88" spans="4:14" x14ac:dyDescent="0.35">
      <c r="D88" s="1" t="s">
        <v>488</v>
      </c>
      <c r="E88" s="1" t="s">
        <v>892</v>
      </c>
      <c r="F88" t="s">
        <v>13</v>
      </c>
      <c r="G88" s="12">
        <v>490</v>
      </c>
      <c r="H88" s="3">
        <v>82</v>
      </c>
      <c r="I88" s="3">
        <f t="shared" si="5"/>
        <v>40180</v>
      </c>
      <c r="J88" s="3">
        <f t="shared" si="6"/>
        <v>110.99</v>
      </c>
      <c r="K88" s="88">
        <v>339</v>
      </c>
      <c r="L88" s="3">
        <f t="shared" si="7"/>
        <v>37625.61</v>
      </c>
      <c r="M88" s="3">
        <f t="shared" si="8"/>
        <v>27798</v>
      </c>
      <c r="N88" s="3">
        <f t="shared" si="9"/>
        <v>9827.61</v>
      </c>
    </row>
    <row r="89" spans="4:14" x14ac:dyDescent="0.35">
      <c r="D89" s="1" t="s">
        <v>489</v>
      </c>
      <c r="E89" s="1" t="s">
        <v>888</v>
      </c>
      <c r="F89" t="s">
        <v>14</v>
      </c>
      <c r="G89" s="12">
        <v>307</v>
      </c>
      <c r="H89" s="3">
        <v>122</v>
      </c>
      <c r="I89" s="3">
        <f t="shared" si="5"/>
        <v>37454</v>
      </c>
      <c r="J89" s="3">
        <f t="shared" si="6"/>
        <v>164.99</v>
      </c>
      <c r="K89" s="88">
        <v>264</v>
      </c>
      <c r="L89" s="3">
        <f t="shared" si="7"/>
        <v>43557.36</v>
      </c>
      <c r="M89" s="3">
        <f t="shared" si="8"/>
        <v>32208</v>
      </c>
      <c r="N89" s="3">
        <f t="shared" si="9"/>
        <v>11349.36</v>
      </c>
    </row>
    <row r="90" spans="4:14" x14ac:dyDescent="0.35">
      <c r="D90" s="1" t="s">
        <v>490</v>
      </c>
      <c r="E90" s="1" t="s">
        <v>711</v>
      </c>
      <c r="F90" t="s">
        <v>14</v>
      </c>
      <c r="G90" s="12">
        <v>109</v>
      </c>
      <c r="H90" s="3">
        <v>11</v>
      </c>
      <c r="I90" s="3">
        <f t="shared" si="5"/>
        <v>1199</v>
      </c>
      <c r="J90" s="3">
        <f t="shared" si="6"/>
        <v>14.99</v>
      </c>
      <c r="K90" s="88">
        <v>102</v>
      </c>
      <c r="L90" s="3">
        <f t="shared" si="7"/>
        <v>1528.98</v>
      </c>
      <c r="M90" s="3">
        <f t="shared" si="8"/>
        <v>1122</v>
      </c>
      <c r="N90" s="3">
        <f t="shared" si="9"/>
        <v>406.98</v>
      </c>
    </row>
    <row r="91" spans="4:14" x14ac:dyDescent="0.35">
      <c r="D91" s="1" t="s">
        <v>491</v>
      </c>
      <c r="E91" s="1" t="s">
        <v>711</v>
      </c>
      <c r="F91" t="s">
        <v>11</v>
      </c>
      <c r="G91" s="12">
        <v>359</v>
      </c>
      <c r="H91" s="3">
        <v>137</v>
      </c>
      <c r="I91" s="3">
        <f t="shared" si="5"/>
        <v>49183</v>
      </c>
      <c r="J91" s="3">
        <f t="shared" si="6"/>
        <v>184.99</v>
      </c>
      <c r="K91" s="88">
        <v>136</v>
      </c>
      <c r="L91" s="3">
        <f t="shared" si="7"/>
        <v>25158.639999999999</v>
      </c>
      <c r="M91" s="3">
        <f t="shared" si="8"/>
        <v>18632</v>
      </c>
      <c r="N91" s="3">
        <f t="shared" si="9"/>
        <v>6526.6399999999994</v>
      </c>
    </row>
    <row r="92" spans="4:14" x14ac:dyDescent="0.35">
      <c r="D92" s="1" t="s">
        <v>492</v>
      </c>
      <c r="E92" s="1" t="s">
        <v>889</v>
      </c>
      <c r="F92" t="s">
        <v>14</v>
      </c>
      <c r="G92" s="12">
        <v>270</v>
      </c>
      <c r="H92" s="3">
        <v>63</v>
      </c>
      <c r="I92" s="3">
        <f t="shared" si="5"/>
        <v>17010</v>
      </c>
      <c r="J92" s="3">
        <f t="shared" si="6"/>
        <v>84.99</v>
      </c>
      <c r="K92" s="88">
        <v>115</v>
      </c>
      <c r="L92" s="3">
        <f t="shared" si="7"/>
        <v>9773.8499999999985</v>
      </c>
      <c r="M92" s="3">
        <f t="shared" si="8"/>
        <v>7245</v>
      </c>
      <c r="N92" s="3">
        <f t="shared" si="9"/>
        <v>2528.8499999999985</v>
      </c>
    </row>
    <row r="93" spans="4:14" x14ac:dyDescent="0.35">
      <c r="D93" s="1" t="s">
        <v>493</v>
      </c>
      <c r="E93" s="1" t="s">
        <v>711</v>
      </c>
      <c r="F93" t="s">
        <v>13</v>
      </c>
      <c r="G93" s="12">
        <v>274</v>
      </c>
      <c r="H93" s="3">
        <v>64</v>
      </c>
      <c r="I93" s="3">
        <f t="shared" si="5"/>
        <v>17536</v>
      </c>
      <c r="J93" s="3">
        <f t="shared" si="6"/>
        <v>85.99</v>
      </c>
      <c r="K93" s="88">
        <v>167</v>
      </c>
      <c r="L93" s="3">
        <f t="shared" si="7"/>
        <v>14360.33</v>
      </c>
      <c r="M93" s="3">
        <f t="shared" si="8"/>
        <v>10688</v>
      </c>
      <c r="N93" s="3">
        <f t="shared" si="9"/>
        <v>3672.33</v>
      </c>
    </row>
    <row r="94" spans="4:14" x14ac:dyDescent="0.35">
      <c r="D94" s="1" t="s">
        <v>494</v>
      </c>
      <c r="E94" s="1" t="s">
        <v>885</v>
      </c>
      <c r="F94" t="s">
        <v>14</v>
      </c>
      <c r="G94" s="12">
        <v>473</v>
      </c>
      <c r="H94" s="3">
        <v>108</v>
      </c>
      <c r="I94" s="3">
        <f t="shared" si="5"/>
        <v>51084</v>
      </c>
      <c r="J94" s="3">
        <f t="shared" si="6"/>
        <v>145.99</v>
      </c>
      <c r="K94" s="88">
        <v>282</v>
      </c>
      <c r="L94" s="3">
        <f t="shared" si="7"/>
        <v>41169.18</v>
      </c>
      <c r="M94" s="3">
        <f t="shared" si="8"/>
        <v>30456</v>
      </c>
      <c r="N94" s="3">
        <f t="shared" si="9"/>
        <v>10713.18</v>
      </c>
    </row>
    <row r="95" spans="4:14" x14ac:dyDescent="0.35">
      <c r="D95" s="1" t="s">
        <v>495</v>
      </c>
      <c r="E95" s="1" t="s">
        <v>711</v>
      </c>
      <c r="F95" t="s">
        <v>16</v>
      </c>
      <c r="G95" s="12">
        <v>414</v>
      </c>
      <c r="H95" s="3">
        <v>106</v>
      </c>
      <c r="I95" s="3">
        <f t="shared" si="5"/>
        <v>43884</v>
      </c>
      <c r="J95" s="3">
        <f t="shared" si="6"/>
        <v>142.99</v>
      </c>
      <c r="K95" s="88">
        <v>287</v>
      </c>
      <c r="L95" s="3">
        <f t="shared" si="7"/>
        <v>41038.130000000005</v>
      </c>
      <c r="M95" s="3">
        <f t="shared" si="8"/>
        <v>30422</v>
      </c>
      <c r="N95" s="3">
        <f t="shared" si="9"/>
        <v>10616.130000000005</v>
      </c>
    </row>
    <row r="96" spans="4:14" x14ac:dyDescent="0.35">
      <c r="D96" s="1" t="s">
        <v>496</v>
      </c>
      <c r="E96" s="1" t="s">
        <v>711</v>
      </c>
      <c r="F96" t="s">
        <v>14</v>
      </c>
      <c r="G96" s="12">
        <v>109</v>
      </c>
      <c r="H96" s="3">
        <v>80</v>
      </c>
      <c r="I96" s="3">
        <f t="shared" si="5"/>
        <v>8720</v>
      </c>
      <c r="J96" s="3">
        <f t="shared" si="6"/>
        <v>107.99</v>
      </c>
      <c r="K96" s="88">
        <v>106</v>
      </c>
      <c r="L96" s="3">
        <f t="shared" si="7"/>
        <v>11446.939999999999</v>
      </c>
      <c r="M96" s="3">
        <f t="shared" si="8"/>
        <v>8480</v>
      </c>
      <c r="N96" s="3">
        <f t="shared" si="9"/>
        <v>2966.9399999999987</v>
      </c>
    </row>
    <row r="97" spans="4:14" x14ac:dyDescent="0.35">
      <c r="D97" s="1" t="s">
        <v>497</v>
      </c>
      <c r="E97" s="1" t="s">
        <v>712</v>
      </c>
      <c r="F97" t="s">
        <v>14</v>
      </c>
      <c r="G97" s="12">
        <v>208</v>
      </c>
      <c r="H97" s="3">
        <v>74</v>
      </c>
      <c r="I97" s="3">
        <f t="shared" si="5"/>
        <v>15392</v>
      </c>
      <c r="J97" s="3">
        <f t="shared" si="6"/>
        <v>99.99</v>
      </c>
      <c r="K97" s="88">
        <v>153</v>
      </c>
      <c r="L97" s="3">
        <f t="shared" si="7"/>
        <v>15298.47</v>
      </c>
      <c r="M97" s="3">
        <f t="shared" si="8"/>
        <v>11322</v>
      </c>
      <c r="N97" s="3">
        <f t="shared" si="9"/>
        <v>3976.4699999999993</v>
      </c>
    </row>
    <row r="98" spans="4:14" x14ac:dyDescent="0.35">
      <c r="D98" s="1" t="s">
        <v>498</v>
      </c>
      <c r="E98" s="1" t="s">
        <v>889</v>
      </c>
      <c r="F98" t="s">
        <v>10</v>
      </c>
      <c r="G98" s="12">
        <v>259</v>
      </c>
      <c r="H98" s="3">
        <v>150</v>
      </c>
      <c r="I98" s="3">
        <f t="shared" si="5"/>
        <v>38850</v>
      </c>
      <c r="J98" s="3">
        <f t="shared" si="6"/>
        <v>202.99</v>
      </c>
      <c r="K98" s="88">
        <v>146</v>
      </c>
      <c r="L98" s="3">
        <f t="shared" si="7"/>
        <v>29636.54</v>
      </c>
      <c r="M98" s="3">
        <f t="shared" si="8"/>
        <v>21900</v>
      </c>
      <c r="N98" s="3">
        <f t="shared" si="9"/>
        <v>7736.5400000000009</v>
      </c>
    </row>
    <row r="99" spans="4:14" x14ac:dyDescent="0.35">
      <c r="D99" s="1" t="s">
        <v>499</v>
      </c>
      <c r="E99" s="1" t="s">
        <v>711</v>
      </c>
      <c r="F99" t="s">
        <v>9</v>
      </c>
      <c r="G99" s="12">
        <v>155</v>
      </c>
      <c r="H99" s="3">
        <v>61</v>
      </c>
      <c r="I99" s="3">
        <f t="shared" si="5"/>
        <v>9455</v>
      </c>
      <c r="J99" s="3">
        <f t="shared" si="6"/>
        <v>81.99</v>
      </c>
      <c r="K99" s="88">
        <v>118</v>
      </c>
      <c r="L99" s="3">
        <f t="shared" si="7"/>
        <v>9674.82</v>
      </c>
      <c r="M99" s="3">
        <f t="shared" si="8"/>
        <v>7198</v>
      </c>
      <c r="N99" s="3">
        <f t="shared" si="9"/>
        <v>2476.8199999999997</v>
      </c>
    </row>
    <row r="100" spans="4:14" x14ac:dyDescent="0.35">
      <c r="D100" s="1" t="s">
        <v>415</v>
      </c>
      <c r="E100" s="1" t="s">
        <v>887</v>
      </c>
      <c r="F100" t="s">
        <v>13</v>
      </c>
      <c r="G100" s="12">
        <v>196</v>
      </c>
      <c r="H100" s="3">
        <v>26</v>
      </c>
      <c r="I100" s="3">
        <f t="shared" si="5"/>
        <v>5096</v>
      </c>
      <c r="J100" s="3">
        <f t="shared" si="6"/>
        <v>34.99</v>
      </c>
      <c r="K100" s="88">
        <v>196</v>
      </c>
      <c r="L100" s="3">
        <f t="shared" si="7"/>
        <v>6858.04</v>
      </c>
      <c r="M100" s="3">
        <f t="shared" si="8"/>
        <v>5096</v>
      </c>
      <c r="N100" s="3">
        <f t="shared" si="9"/>
        <v>1762.04</v>
      </c>
    </row>
    <row r="101" spans="4:14" x14ac:dyDescent="0.35">
      <c r="D101" s="1" t="s">
        <v>500</v>
      </c>
      <c r="E101" s="1" t="s">
        <v>888</v>
      </c>
      <c r="F101" t="s">
        <v>333</v>
      </c>
      <c r="G101" s="12">
        <v>499</v>
      </c>
      <c r="H101" s="3">
        <v>137</v>
      </c>
      <c r="I101" s="3">
        <f t="shared" si="5"/>
        <v>68363</v>
      </c>
      <c r="J101" s="3">
        <f t="shared" si="6"/>
        <v>184.99</v>
      </c>
      <c r="K101" s="88">
        <v>496</v>
      </c>
      <c r="L101" s="3">
        <f t="shared" si="7"/>
        <v>91755.040000000008</v>
      </c>
      <c r="M101" s="3">
        <f t="shared" si="8"/>
        <v>67952</v>
      </c>
      <c r="N101" s="3">
        <f t="shared" si="9"/>
        <v>23803.040000000008</v>
      </c>
    </row>
    <row r="102" spans="4:14" x14ac:dyDescent="0.35">
      <c r="D102" s="1" t="s">
        <v>501</v>
      </c>
      <c r="E102" s="1" t="s">
        <v>893</v>
      </c>
      <c r="F102" t="s">
        <v>11</v>
      </c>
      <c r="G102" s="12">
        <v>183</v>
      </c>
      <c r="H102" s="3">
        <v>119</v>
      </c>
      <c r="I102" s="3">
        <f t="shared" si="5"/>
        <v>21777</v>
      </c>
      <c r="J102" s="3">
        <f t="shared" si="6"/>
        <v>160.99</v>
      </c>
      <c r="K102" s="88">
        <v>164</v>
      </c>
      <c r="L102" s="3">
        <f t="shared" si="7"/>
        <v>26402.36</v>
      </c>
      <c r="M102" s="3">
        <f t="shared" si="8"/>
        <v>19516</v>
      </c>
      <c r="N102" s="3">
        <f t="shared" si="9"/>
        <v>6886.3600000000006</v>
      </c>
    </row>
    <row r="103" spans="4:14" x14ac:dyDescent="0.35">
      <c r="D103" s="1" t="s">
        <v>502</v>
      </c>
      <c r="E103" s="1" t="s">
        <v>712</v>
      </c>
      <c r="F103" t="s">
        <v>16</v>
      </c>
      <c r="G103" s="12">
        <v>400</v>
      </c>
      <c r="H103" s="3">
        <v>128</v>
      </c>
      <c r="I103" s="3">
        <f t="shared" si="5"/>
        <v>51200</v>
      </c>
      <c r="J103" s="3">
        <f t="shared" si="6"/>
        <v>172.99</v>
      </c>
      <c r="K103" s="88">
        <v>395</v>
      </c>
      <c r="L103" s="3">
        <f t="shared" si="7"/>
        <v>68331.05</v>
      </c>
      <c r="M103" s="3">
        <f t="shared" si="8"/>
        <v>50560</v>
      </c>
      <c r="N103" s="3">
        <f t="shared" si="9"/>
        <v>17771.050000000003</v>
      </c>
    </row>
    <row r="104" spans="4:14" x14ac:dyDescent="0.35">
      <c r="D104" s="1" t="s">
        <v>503</v>
      </c>
      <c r="E104" s="1" t="s">
        <v>711</v>
      </c>
      <c r="F104" t="s">
        <v>15</v>
      </c>
      <c r="G104" s="12">
        <v>499</v>
      </c>
      <c r="H104" s="3">
        <v>117</v>
      </c>
      <c r="I104" s="3">
        <f t="shared" si="5"/>
        <v>58383</v>
      </c>
      <c r="J104" s="3">
        <f t="shared" si="6"/>
        <v>157.99</v>
      </c>
      <c r="K104" s="88">
        <v>250</v>
      </c>
      <c r="L104" s="3">
        <f t="shared" si="7"/>
        <v>39497.5</v>
      </c>
      <c r="M104" s="3">
        <f t="shared" si="8"/>
        <v>29250</v>
      </c>
      <c r="N104" s="3">
        <f t="shared" si="9"/>
        <v>10247.5</v>
      </c>
    </row>
    <row r="105" spans="4:14" x14ac:dyDescent="0.35">
      <c r="D105" s="1" t="s">
        <v>504</v>
      </c>
      <c r="E105" s="1" t="s">
        <v>889</v>
      </c>
      <c r="F105" t="s">
        <v>16</v>
      </c>
      <c r="G105" s="12">
        <v>401</v>
      </c>
      <c r="H105" s="3">
        <v>26</v>
      </c>
      <c r="I105" s="3">
        <f t="shared" si="5"/>
        <v>10426</v>
      </c>
      <c r="J105" s="3">
        <f t="shared" si="6"/>
        <v>34.99</v>
      </c>
      <c r="K105" s="88">
        <v>153</v>
      </c>
      <c r="L105" s="3">
        <f t="shared" si="7"/>
        <v>5353.47</v>
      </c>
      <c r="M105" s="3">
        <f t="shared" si="8"/>
        <v>3978</v>
      </c>
      <c r="N105" s="3">
        <f t="shared" si="9"/>
        <v>1375.4700000000003</v>
      </c>
    </row>
    <row r="106" spans="4:14" x14ac:dyDescent="0.35">
      <c r="D106" s="1" t="s">
        <v>505</v>
      </c>
      <c r="E106" s="1" t="s">
        <v>894</v>
      </c>
      <c r="F106" t="s">
        <v>15</v>
      </c>
      <c r="G106" s="12">
        <v>469</v>
      </c>
      <c r="H106" s="3">
        <v>46</v>
      </c>
      <c r="I106" s="3">
        <f t="shared" si="5"/>
        <v>21574</v>
      </c>
      <c r="J106" s="3">
        <f t="shared" si="6"/>
        <v>61.99</v>
      </c>
      <c r="K106" s="88">
        <v>182</v>
      </c>
      <c r="L106" s="3">
        <f t="shared" si="7"/>
        <v>11282.18</v>
      </c>
      <c r="M106" s="3">
        <f t="shared" si="8"/>
        <v>8372</v>
      </c>
      <c r="N106" s="3">
        <f t="shared" si="9"/>
        <v>2910.1800000000003</v>
      </c>
    </row>
    <row r="107" spans="4:14" x14ac:dyDescent="0.35">
      <c r="D107" s="1" t="s">
        <v>506</v>
      </c>
      <c r="E107" s="1" t="s">
        <v>711</v>
      </c>
      <c r="F107" t="s">
        <v>17</v>
      </c>
      <c r="G107" s="12">
        <v>205</v>
      </c>
      <c r="H107" s="3">
        <v>19</v>
      </c>
      <c r="I107" s="3">
        <f t="shared" si="5"/>
        <v>3895</v>
      </c>
      <c r="J107" s="3">
        <f t="shared" si="6"/>
        <v>25.99</v>
      </c>
      <c r="K107" s="88">
        <v>199</v>
      </c>
      <c r="L107" s="3">
        <f t="shared" si="7"/>
        <v>5172.0099999999993</v>
      </c>
      <c r="M107" s="3">
        <f t="shared" si="8"/>
        <v>3781</v>
      </c>
      <c r="N107" s="3">
        <f t="shared" si="9"/>
        <v>1391.0099999999993</v>
      </c>
    </row>
    <row r="108" spans="4:14" x14ac:dyDescent="0.35">
      <c r="D108" s="1" t="s">
        <v>507</v>
      </c>
      <c r="E108" s="1" t="s">
        <v>711</v>
      </c>
      <c r="F108" t="s">
        <v>13</v>
      </c>
      <c r="G108" s="12">
        <v>265</v>
      </c>
      <c r="H108" s="3">
        <v>50</v>
      </c>
      <c r="I108" s="3">
        <f t="shared" si="5"/>
        <v>13250</v>
      </c>
      <c r="J108" s="3">
        <f t="shared" si="6"/>
        <v>67.989999999999995</v>
      </c>
      <c r="K108" s="88">
        <v>167</v>
      </c>
      <c r="L108" s="3">
        <f t="shared" si="7"/>
        <v>11354.33</v>
      </c>
      <c r="M108" s="3">
        <f t="shared" si="8"/>
        <v>8350</v>
      </c>
      <c r="N108" s="3">
        <f t="shared" si="9"/>
        <v>3004.33</v>
      </c>
    </row>
    <row r="109" spans="4:14" x14ac:dyDescent="0.35">
      <c r="D109" s="1" t="s">
        <v>508</v>
      </c>
      <c r="E109" s="1" t="s">
        <v>711</v>
      </c>
      <c r="F109" t="s">
        <v>10</v>
      </c>
      <c r="G109" s="12">
        <v>344</v>
      </c>
      <c r="H109" s="3">
        <v>98</v>
      </c>
      <c r="I109" s="3">
        <f t="shared" si="5"/>
        <v>33712</v>
      </c>
      <c r="J109" s="3">
        <f t="shared" si="6"/>
        <v>131.99</v>
      </c>
      <c r="K109" s="88">
        <v>297</v>
      </c>
      <c r="L109" s="3">
        <f t="shared" si="7"/>
        <v>39201.030000000006</v>
      </c>
      <c r="M109" s="3">
        <f t="shared" si="8"/>
        <v>29106</v>
      </c>
      <c r="N109" s="3">
        <f t="shared" si="9"/>
        <v>10095.030000000006</v>
      </c>
    </row>
    <row r="110" spans="4:14" x14ac:dyDescent="0.35">
      <c r="D110" s="1" t="s">
        <v>509</v>
      </c>
      <c r="E110" s="1" t="s">
        <v>885</v>
      </c>
      <c r="F110" t="s">
        <v>12</v>
      </c>
      <c r="G110" s="12">
        <v>220</v>
      </c>
      <c r="H110" s="3">
        <v>59</v>
      </c>
      <c r="I110" s="3">
        <f t="shared" si="5"/>
        <v>12980</v>
      </c>
      <c r="J110" s="3">
        <f t="shared" si="6"/>
        <v>79.989999999999995</v>
      </c>
      <c r="K110" s="88">
        <v>142</v>
      </c>
      <c r="L110" s="3">
        <f t="shared" si="7"/>
        <v>11358.58</v>
      </c>
      <c r="M110" s="3">
        <f t="shared" si="8"/>
        <v>8378</v>
      </c>
      <c r="N110" s="3">
        <f t="shared" si="9"/>
        <v>2980.58</v>
      </c>
    </row>
    <row r="111" spans="4:14" x14ac:dyDescent="0.35">
      <c r="D111" s="1" t="s">
        <v>510</v>
      </c>
      <c r="E111" s="1" t="s">
        <v>711</v>
      </c>
      <c r="F111" t="s">
        <v>12</v>
      </c>
      <c r="G111" s="12">
        <v>398</v>
      </c>
      <c r="H111" s="3">
        <v>67</v>
      </c>
      <c r="I111" s="3">
        <f t="shared" si="5"/>
        <v>26666</v>
      </c>
      <c r="J111" s="3">
        <f t="shared" si="6"/>
        <v>89.99</v>
      </c>
      <c r="K111" s="88">
        <v>215</v>
      </c>
      <c r="L111" s="3">
        <f t="shared" si="7"/>
        <v>19347.849999999999</v>
      </c>
      <c r="M111" s="3">
        <f t="shared" si="8"/>
        <v>14405</v>
      </c>
      <c r="N111" s="3">
        <f t="shared" si="9"/>
        <v>4942.8499999999985</v>
      </c>
    </row>
    <row r="112" spans="4:14" x14ac:dyDescent="0.35">
      <c r="D112" s="1" t="s">
        <v>495</v>
      </c>
      <c r="E112" s="1" t="s">
        <v>711</v>
      </c>
      <c r="F112" t="s">
        <v>14</v>
      </c>
      <c r="G112" s="12">
        <v>470</v>
      </c>
      <c r="H112" s="3">
        <v>119</v>
      </c>
      <c r="I112" s="3">
        <f t="shared" si="5"/>
        <v>55930</v>
      </c>
      <c r="J112" s="3">
        <f t="shared" si="6"/>
        <v>160.99</v>
      </c>
      <c r="K112" s="88">
        <v>304</v>
      </c>
      <c r="L112" s="3">
        <f t="shared" si="7"/>
        <v>48940.960000000006</v>
      </c>
      <c r="M112" s="3">
        <f t="shared" si="8"/>
        <v>36176</v>
      </c>
      <c r="N112" s="3">
        <f t="shared" si="9"/>
        <v>12764.960000000006</v>
      </c>
    </row>
    <row r="113" spans="4:14" x14ac:dyDescent="0.35">
      <c r="D113" s="1" t="s">
        <v>511</v>
      </c>
      <c r="E113" s="1" t="s">
        <v>895</v>
      </c>
      <c r="F113" t="s">
        <v>11</v>
      </c>
      <c r="G113" s="12">
        <v>487</v>
      </c>
      <c r="H113" s="3">
        <v>42</v>
      </c>
      <c r="I113" s="3">
        <f t="shared" si="5"/>
        <v>20454</v>
      </c>
      <c r="J113" s="3">
        <f t="shared" si="6"/>
        <v>56.99</v>
      </c>
      <c r="K113" s="88">
        <v>171</v>
      </c>
      <c r="L113" s="3">
        <f t="shared" si="7"/>
        <v>9745.2900000000009</v>
      </c>
      <c r="M113" s="3">
        <f t="shared" si="8"/>
        <v>7182</v>
      </c>
      <c r="N113" s="3">
        <f t="shared" si="9"/>
        <v>2563.2900000000009</v>
      </c>
    </row>
    <row r="114" spans="4:14" x14ac:dyDescent="0.35">
      <c r="D114" s="1" t="s">
        <v>512</v>
      </c>
      <c r="E114" s="1" t="s">
        <v>711</v>
      </c>
      <c r="F114" t="s">
        <v>13</v>
      </c>
      <c r="G114" s="12">
        <v>456</v>
      </c>
      <c r="H114" s="3">
        <v>22</v>
      </c>
      <c r="I114" s="3">
        <f t="shared" si="5"/>
        <v>10032</v>
      </c>
      <c r="J114" s="3">
        <f t="shared" si="6"/>
        <v>29.99</v>
      </c>
      <c r="K114" s="88">
        <v>331</v>
      </c>
      <c r="L114" s="3">
        <f t="shared" si="7"/>
        <v>9926.6899999999987</v>
      </c>
      <c r="M114" s="3">
        <f t="shared" si="8"/>
        <v>7282</v>
      </c>
      <c r="N114" s="3">
        <f t="shared" si="9"/>
        <v>2644.6899999999987</v>
      </c>
    </row>
    <row r="115" spans="4:14" x14ac:dyDescent="0.35">
      <c r="D115" s="1" t="s">
        <v>0</v>
      </c>
      <c r="E115" s="1" t="s">
        <v>711</v>
      </c>
      <c r="F115" t="s">
        <v>15</v>
      </c>
      <c r="G115" s="12">
        <v>411</v>
      </c>
      <c r="H115" s="3">
        <v>114</v>
      </c>
      <c r="I115" s="3">
        <f t="shared" si="5"/>
        <v>46854</v>
      </c>
      <c r="J115" s="3">
        <f t="shared" si="6"/>
        <v>153.99</v>
      </c>
      <c r="K115" s="88">
        <v>226</v>
      </c>
      <c r="L115" s="3">
        <f t="shared" si="7"/>
        <v>34801.740000000005</v>
      </c>
      <c r="M115" s="3">
        <f t="shared" si="8"/>
        <v>25764</v>
      </c>
      <c r="N115" s="3">
        <f t="shared" si="9"/>
        <v>9037.7400000000052</v>
      </c>
    </row>
    <row r="116" spans="4:14" x14ac:dyDescent="0.35">
      <c r="D116" s="1" t="s">
        <v>513</v>
      </c>
      <c r="E116" s="1" t="s">
        <v>885</v>
      </c>
      <c r="F116" t="s">
        <v>15</v>
      </c>
      <c r="G116" s="12">
        <v>402</v>
      </c>
      <c r="H116" s="3">
        <v>47</v>
      </c>
      <c r="I116" s="3">
        <f t="shared" si="5"/>
        <v>18894</v>
      </c>
      <c r="J116" s="3">
        <f t="shared" si="6"/>
        <v>62.99</v>
      </c>
      <c r="K116" s="88">
        <v>221</v>
      </c>
      <c r="L116" s="3">
        <f t="shared" si="7"/>
        <v>13920.79</v>
      </c>
      <c r="M116" s="3">
        <f t="shared" si="8"/>
        <v>10387</v>
      </c>
      <c r="N116" s="3">
        <f t="shared" si="9"/>
        <v>3533.7900000000009</v>
      </c>
    </row>
    <row r="117" spans="4:14" x14ac:dyDescent="0.35">
      <c r="D117" s="1" t="s">
        <v>514</v>
      </c>
      <c r="E117" s="1" t="s">
        <v>885</v>
      </c>
      <c r="F117" t="s">
        <v>11</v>
      </c>
      <c r="G117" s="12">
        <v>150</v>
      </c>
      <c r="H117" s="3">
        <v>141</v>
      </c>
      <c r="I117" s="3">
        <f t="shared" ref="I117:I180" si="10">G117*H117</f>
        <v>21150</v>
      </c>
      <c r="J117" s="3">
        <f t="shared" si="6"/>
        <v>189.99</v>
      </c>
      <c r="K117" s="88">
        <v>111</v>
      </c>
      <c r="L117" s="3">
        <f t="shared" si="7"/>
        <v>21088.89</v>
      </c>
      <c r="M117" s="3">
        <f t="shared" si="8"/>
        <v>15651</v>
      </c>
      <c r="N117" s="3">
        <f t="shared" si="9"/>
        <v>5437.8899999999994</v>
      </c>
    </row>
    <row r="118" spans="4:14" x14ac:dyDescent="0.35">
      <c r="D118" s="1" t="s">
        <v>515</v>
      </c>
      <c r="E118" s="1" t="s">
        <v>711</v>
      </c>
      <c r="F118" t="s">
        <v>9</v>
      </c>
      <c r="G118" s="12">
        <v>358</v>
      </c>
      <c r="H118" s="3">
        <v>27</v>
      </c>
      <c r="I118" s="3">
        <f t="shared" si="10"/>
        <v>9666</v>
      </c>
      <c r="J118" s="3">
        <f t="shared" si="6"/>
        <v>35.99</v>
      </c>
      <c r="K118" s="88">
        <v>195</v>
      </c>
      <c r="L118" s="3">
        <f t="shared" si="7"/>
        <v>7018.05</v>
      </c>
      <c r="M118" s="3">
        <f t="shared" si="8"/>
        <v>5265</v>
      </c>
      <c r="N118" s="3">
        <f t="shared" si="9"/>
        <v>1753.0500000000002</v>
      </c>
    </row>
    <row r="119" spans="4:14" x14ac:dyDescent="0.35">
      <c r="D119" s="1" t="s">
        <v>516</v>
      </c>
      <c r="E119" s="1" t="s">
        <v>890</v>
      </c>
      <c r="F119" t="s">
        <v>14</v>
      </c>
      <c r="G119" s="12">
        <v>336</v>
      </c>
      <c r="H119" s="3">
        <v>72</v>
      </c>
      <c r="I119" s="3">
        <f t="shared" si="10"/>
        <v>24192</v>
      </c>
      <c r="J119" s="3">
        <f t="shared" si="6"/>
        <v>96.99</v>
      </c>
      <c r="K119" s="88">
        <v>242</v>
      </c>
      <c r="L119" s="3">
        <f t="shared" si="7"/>
        <v>23471.579999999998</v>
      </c>
      <c r="M119" s="3">
        <f t="shared" si="8"/>
        <v>17424</v>
      </c>
      <c r="N119" s="3">
        <f t="shared" si="9"/>
        <v>6047.5799999999981</v>
      </c>
    </row>
    <row r="120" spans="4:14" x14ac:dyDescent="0.35">
      <c r="D120" s="1" t="s">
        <v>517</v>
      </c>
      <c r="E120" s="1" t="s">
        <v>896</v>
      </c>
      <c r="F120" t="s">
        <v>14</v>
      </c>
      <c r="G120" s="12">
        <v>343</v>
      </c>
      <c r="H120" s="3">
        <v>140</v>
      </c>
      <c r="I120" s="3">
        <f t="shared" si="10"/>
        <v>48020</v>
      </c>
      <c r="J120" s="3">
        <f t="shared" si="6"/>
        <v>188.99</v>
      </c>
      <c r="K120" s="88">
        <v>273</v>
      </c>
      <c r="L120" s="3">
        <f t="shared" si="7"/>
        <v>51594.270000000004</v>
      </c>
      <c r="M120" s="3">
        <f t="shared" si="8"/>
        <v>38220</v>
      </c>
      <c r="N120" s="3">
        <f t="shared" si="9"/>
        <v>13374.270000000004</v>
      </c>
    </row>
    <row r="121" spans="4:14" x14ac:dyDescent="0.35">
      <c r="D121" s="1" t="s">
        <v>518</v>
      </c>
      <c r="E121" s="1" t="s">
        <v>885</v>
      </c>
      <c r="F121" t="s">
        <v>9</v>
      </c>
      <c r="G121" s="12">
        <v>122</v>
      </c>
      <c r="H121" s="3">
        <v>75</v>
      </c>
      <c r="I121" s="3">
        <f t="shared" si="10"/>
        <v>9150</v>
      </c>
      <c r="J121" s="3">
        <f t="shared" si="6"/>
        <v>100.99</v>
      </c>
      <c r="K121" s="88">
        <v>117</v>
      </c>
      <c r="L121" s="3">
        <f t="shared" si="7"/>
        <v>11815.83</v>
      </c>
      <c r="M121" s="3">
        <f t="shared" si="8"/>
        <v>8775</v>
      </c>
      <c r="N121" s="3">
        <f t="shared" si="9"/>
        <v>3040.83</v>
      </c>
    </row>
    <row r="122" spans="4:14" x14ac:dyDescent="0.35">
      <c r="D122" s="1" t="s">
        <v>519</v>
      </c>
      <c r="E122" s="1" t="s">
        <v>711</v>
      </c>
      <c r="F122" t="s">
        <v>10</v>
      </c>
      <c r="G122" s="12">
        <v>473</v>
      </c>
      <c r="H122" s="3">
        <v>81</v>
      </c>
      <c r="I122" s="3">
        <f t="shared" si="10"/>
        <v>38313</v>
      </c>
      <c r="J122" s="3">
        <f t="shared" si="6"/>
        <v>108.99</v>
      </c>
      <c r="K122" s="88">
        <v>127</v>
      </c>
      <c r="L122" s="3">
        <f t="shared" si="7"/>
        <v>13841.73</v>
      </c>
      <c r="M122" s="3">
        <f t="shared" si="8"/>
        <v>10287</v>
      </c>
      <c r="N122" s="3">
        <f t="shared" si="9"/>
        <v>3554.7299999999996</v>
      </c>
    </row>
    <row r="123" spans="4:14" x14ac:dyDescent="0.35">
      <c r="D123" s="1" t="s">
        <v>520</v>
      </c>
      <c r="E123" s="1" t="s">
        <v>711</v>
      </c>
      <c r="F123" t="s">
        <v>10</v>
      </c>
      <c r="G123" s="12">
        <v>288</v>
      </c>
      <c r="H123" s="3">
        <v>132</v>
      </c>
      <c r="I123" s="3">
        <f t="shared" si="10"/>
        <v>38016</v>
      </c>
      <c r="J123" s="3">
        <f t="shared" si="6"/>
        <v>177.99</v>
      </c>
      <c r="K123" s="88">
        <v>170</v>
      </c>
      <c r="L123" s="3">
        <f t="shared" si="7"/>
        <v>30258.300000000003</v>
      </c>
      <c r="M123" s="3">
        <f t="shared" si="8"/>
        <v>22440</v>
      </c>
      <c r="N123" s="3">
        <f t="shared" si="9"/>
        <v>7818.3000000000029</v>
      </c>
    </row>
    <row r="124" spans="4:14" x14ac:dyDescent="0.35">
      <c r="D124" s="1" t="s">
        <v>521</v>
      </c>
      <c r="E124" s="1" t="s">
        <v>889</v>
      </c>
      <c r="F124" t="s">
        <v>17</v>
      </c>
      <c r="G124" s="12">
        <v>297</v>
      </c>
      <c r="H124" s="3">
        <v>75</v>
      </c>
      <c r="I124" s="3">
        <f t="shared" si="10"/>
        <v>22275</v>
      </c>
      <c r="J124" s="3">
        <f t="shared" si="6"/>
        <v>100.99</v>
      </c>
      <c r="K124" s="88">
        <v>286</v>
      </c>
      <c r="L124" s="3">
        <f t="shared" si="7"/>
        <v>28883.14</v>
      </c>
      <c r="M124" s="3">
        <f t="shared" si="8"/>
        <v>21450</v>
      </c>
      <c r="N124" s="3">
        <f t="shared" si="9"/>
        <v>7433.1399999999994</v>
      </c>
    </row>
    <row r="125" spans="4:14" x14ac:dyDescent="0.35">
      <c r="D125" s="1" t="s">
        <v>522</v>
      </c>
      <c r="E125" s="1" t="s">
        <v>891</v>
      </c>
      <c r="F125" t="s">
        <v>333</v>
      </c>
      <c r="G125" s="12">
        <v>260</v>
      </c>
      <c r="H125" s="3">
        <v>148</v>
      </c>
      <c r="I125" s="3">
        <f t="shared" si="10"/>
        <v>38480</v>
      </c>
      <c r="J125" s="3">
        <f t="shared" si="6"/>
        <v>199.99</v>
      </c>
      <c r="K125" s="88">
        <v>120</v>
      </c>
      <c r="L125" s="3">
        <f t="shared" si="7"/>
        <v>23998.800000000003</v>
      </c>
      <c r="M125" s="3">
        <f t="shared" si="8"/>
        <v>17760</v>
      </c>
      <c r="N125" s="3">
        <f t="shared" si="9"/>
        <v>6238.8000000000029</v>
      </c>
    </row>
    <row r="126" spans="4:14" x14ac:dyDescent="0.35">
      <c r="D126" s="1" t="s">
        <v>493</v>
      </c>
      <c r="E126" s="1" t="s">
        <v>711</v>
      </c>
      <c r="F126" t="s">
        <v>14</v>
      </c>
      <c r="G126" s="12">
        <v>319</v>
      </c>
      <c r="H126" s="3">
        <v>46</v>
      </c>
      <c r="I126" s="3">
        <f t="shared" si="10"/>
        <v>14674</v>
      </c>
      <c r="J126" s="3">
        <f t="shared" si="6"/>
        <v>61.99</v>
      </c>
      <c r="K126" s="88">
        <v>282</v>
      </c>
      <c r="L126" s="3">
        <f t="shared" si="7"/>
        <v>17481.18</v>
      </c>
      <c r="M126" s="3">
        <f t="shared" si="8"/>
        <v>12972</v>
      </c>
      <c r="N126" s="3">
        <f t="shared" si="9"/>
        <v>4509.18</v>
      </c>
    </row>
    <row r="127" spans="4:14" x14ac:dyDescent="0.35">
      <c r="D127" s="1" t="s">
        <v>523</v>
      </c>
      <c r="E127" s="1" t="s">
        <v>885</v>
      </c>
      <c r="F127" t="s">
        <v>9</v>
      </c>
      <c r="G127" s="12">
        <v>345</v>
      </c>
      <c r="H127" s="3">
        <v>61</v>
      </c>
      <c r="I127" s="3">
        <f t="shared" si="10"/>
        <v>21045</v>
      </c>
      <c r="J127" s="3">
        <f t="shared" si="6"/>
        <v>81.99</v>
      </c>
      <c r="K127" s="88">
        <v>283</v>
      </c>
      <c r="L127" s="3">
        <f t="shared" si="7"/>
        <v>23203.17</v>
      </c>
      <c r="M127" s="3">
        <f t="shared" si="8"/>
        <v>17263</v>
      </c>
      <c r="N127" s="3">
        <f t="shared" si="9"/>
        <v>5940.1699999999983</v>
      </c>
    </row>
    <row r="128" spans="4:14" x14ac:dyDescent="0.35">
      <c r="D128" s="1" t="s">
        <v>524</v>
      </c>
      <c r="E128" s="1" t="s">
        <v>711</v>
      </c>
      <c r="F128" t="s">
        <v>14</v>
      </c>
      <c r="G128" s="12">
        <v>277</v>
      </c>
      <c r="H128" s="3">
        <v>41</v>
      </c>
      <c r="I128" s="3">
        <f t="shared" si="10"/>
        <v>11357</v>
      </c>
      <c r="J128" s="3">
        <f t="shared" si="6"/>
        <v>54.99</v>
      </c>
      <c r="K128" s="88">
        <v>233</v>
      </c>
      <c r="L128" s="3">
        <f t="shared" si="7"/>
        <v>12812.67</v>
      </c>
      <c r="M128" s="3">
        <f t="shared" si="8"/>
        <v>9553</v>
      </c>
      <c r="N128" s="3">
        <f t="shared" si="9"/>
        <v>3259.67</v>
      </c>
    </row>
    <row r="129" spans="4:14" x14ac:dyDescent="0.35">
      <c r="D129" s="1" t="s">
        <v>525</v>
      </c>
      <c r="E129" s="1" t="s">
        <v>896</v>
      </c>
      <c r="F129" t="s">
        <v>333</v>
      </c>
      <c r="G129" s="12">
        <v>260</v>
      </c>
      <c r="H129" s="3">
        <v>96</v>
      </c>
      <c r="I129" s="3">
        <f t="shared" si="10"/>
        <v>24960</v>
      </c>
      <c r="J129" s="3">
        <f t="shared" si="6"/>
        <v>129.99</v>
      </c>
      <c r="K129" s="88">
        <v>230</v>
      </c>
      <c r="L129" s="3">
        <f t="shared" si="7"/>
        <v>29897.7</v>
      </c>
      <c r="M129" s="3">
        <f t="shared" si="8"/>
        <v>22080</v>
      </c>
      <c r="N129" s="3">
        <f t="shared" si="9"/>
        <v>7817.7000000000007</v>
      </c>
    </row>
    <row r="130" spans="4:14" x14ac:dyDescent="0.35">
      <c r="D130" s="1" t="s">
        <v>1</v>
      </c>
      <c r="E130" s="1" t="s">
        <v>712</v>
      </c>
      <c r="F130" t="s">
        <v>12</v>
      </c>
      <c r="G130" s="12">
        <v>334</v>
      </c>
      <c r="H130" s="3">
        <v>36</v>
      </c>
      <c r="I130" s="3">
        <f t="shared" si="10"/>
        <v>12024</v>
      </c>
      <c r="J130" s="3">
        <f t="shared" si="6"/>
        <v>48.99</v>
      </c>
      <c r="K130" s="88">
        <v>208</v>
      </c>
      <c r="L130" s="3">
        <f t="shared" si="7"/>
        <v>10189.92</v>
      </c>
      <c r="M130" s="3">
        <f t="shared" si="8"/>
        <v>7488</v>
      </c>
      <c r="N130" s="3">
        <f t="shared" si="9"/>
        <v>2701.92</v>
      </c>
    </row>
    <row r="131" spans="4:14" x14ac:dyDescent="0.35">
      <c r="D131" s="1" t="s">
        <v>526</v>
      </c>
      <c r="E131" s="1" t="s">
        <v>887</v>
      </c>
      <c r="F131" t="s">
        <v>12</v>
      </c>
      <c r="G131" s="12">
        <v>133</v>
      </c>
      <c r="H131" s="3">
        <v>21</v>
      </c>
      <c r="I131" s="3">
        <f t="shared" si="10"/>
        <v>2793</v>
      </c>
      <c r="J131" s="3">
        <f t="shared" si="6"/>
        <v>27.99</v>
      </c>
      <c r="K131" s="88">
        <v>106</v>
      </c>
      <c r="L131" s="3">
        <f t="shared" si="7"/>
        <v>2966.94</v>
      </c>
      <c r="M131" s="3">
        <f t="shared" si="8"/>
        <v>2226</v>
      </c>
      <c r="N131" s="3">
        <f t="shared" si="9"/>
        <v>740.94</v>
      </c>
    </row>
    <row r="132" spans="4:14" x14ac:dyDescent="0.35">
      <c r="D132" s="1" t="s">
        <v>527</v>
      </c>
      <c r="E132" s="1" t="s">
        <v>897</v>
      </c>
      <c r="F132" t="s">
        <v>13</v>
      </c>
      <c r="G132" s="12">
        <v>367</v>
      </c>
      <c r="H132" s="3">
        <v>131</v>
      </c>
      <c r="I132" s="3">
        <f t="shared" si="10"/>
        <v>48077</v>
      </c>
      <c r="J132" s="3">
        <f t="shared" si="6"/>
        <v>176.99</v>
      </c>
      <c r="K132" s="88">
        <v>273</v>
      </c>
      <c r="L132" s="3">
        <f t="shared" si="7"/>
        <v>48318.270000000004</v>
      </c>
      <c r="M132" s="3">
        <f t="shared" si="8"/>
        <v>35763</v>
      </c>
      <c r="N132" s="3">
        <f t="shared" si="9"/>
        <v>12555.270000000004</v>
      </c>
    </row>
    <row r="133" spans="4:14" x14ac:dyDescent="0.35">
      <c r="D133" s="1" t="s">
        <v>528</v>
      </c>
      <c r="E133" s="1" t="s">
        <v>889</v>
      </c>
      <c r="F133" t="s">
        <v>12</v>
      </c>
      <c r="G133" s="12">
        <v>420</v>
      </c>
      <c r="H133" s="3">
        <v>55</v>
      </c>
      <c r="I133" s="3">
        <f t="shared" si="10"/>
        <v>23100</v>
      </c>
      <c r="J133" s="3">
        <f t="shared" si="6"/>
        <v>73.989999999999995</v>
      </c>
      <c r="K133" s="88">
        <v>206</v>
      </c>
      <c r="L133" s="3">
        <f t="shared" si="7"/>
        <v>15241.939999999999</v>
      </c>
      <c r="M133" s="3">
        <f t="shared" si="8"/>
        <v>11330</v>
      </c>
      <c r="N133" s="3">
        <f t="shared" si="9"/>
        <v>3911.9399999999987</v>
      </c>
    </row>
    <row r="134" spans="4:14" x14ac:dyDescent="0.35">
      <c r="D134" s="1" t="s">
        <v>529</v>
      </c>
      <c r="E134" s="1" t="s">
        <v>711</v>
      </c>
      <c r="F134" t="s">
        <v>16</v>
      </c>
      <c r="G134" s="12">
        <v>192</v>
      </c>
      <c r="H134" s="3">
        <v>10</v>
      </c>
      <c r="I134" s="3">
        <f t="shared" si="10"/>
        <v>1920</v>
      </c>
      <c r="J134" s="3">
        <f t="shared" ref="J134:J197" si="11">ROUND((H134*35%)+H134,0)-0.01</f>
        <v>13.99</v>
      </c>
      <c r="K134" s="88">
        <v>130</v>
      </c>
      <c r="L134" s="3">
        <f t="shared" ref="L134:L197" si="12">K134*J134</f>
        <v>1818.7</v>
      </c>
      <c r="M134" s="3">
        <f t="shared" ref="M134:M197" si="13">H134*K134</f>
        <v>1300</v>
      </c>
      <c r="N134" s="3">
        <f t="shared" ref="N134:N197" si="14">L134-M134</f>
        <v>518.70000000000005</v>
      </c>
    </row>
    <row r="135" spans="4:14" x14ac:dyDescent="0.35">
      <c r="D135" s="1" t="s">
        <v>530</v>
      </c>
      <c r="E135" s="1" t="s">
        <v>887</v>
      </c>
      <c r="F135" t="s">
        <v>17</v>
      </c>
      <c r="G135" s="12">
        <v>205</v>
      </c>
      <c r="H135" s="3">
        <v>70</v>
      </c>
      <c r="I135" s="3">
        <f t="shared" si="10"/>
        <v>14350</v>
      </c>
      <c r="J135" s="3">
        <f t="shared" si="11"/>
        <v>94.99</v>
      </c>
      <c r="K135" s="88">
        <v>151</v>
      </c>
      <c r="L135" s="3">
        <f t="shared" si="12"/>
        <v>14343.49</v>
      </c>
      <c r="M135" s="3">
        <f t="shared" si="13"/>
        <v>10570</v>
      </c>
      <c r="N135" s="3">
        <f t="shared" si="14"/>
        <v>3773.49</v>
      </c>
    </row>
    <row r="136" spans="4:14" x14ac:dyDescent="0.35">
      <c r="D136" s="1" t="s">
        <v>531</v>
      </c>
      <c r="E136" s="1" t="s">
        <v>885</v>
      </c>
      <c r="F136" t="s">
        <v>17</v>
      </c>
      <c r="G136" s="12">
        <v>384</v>
      </c>
      <c r="H136" s="3">
        <v>63</v>
      </c>
      <c r="I136" s="3">
        <f t="shared" si="10"/>
        <v>24192</v>
      </c>
      <c r="J136" s="3">
        <f t="shared" si="11"/>
        <v>84.99</v>
      </c>
      <c r="K136" s="88">
        <v>104</v>
      </c>
      <c r="L136" s="3">
        <f t="shared" si="12"/>
        <v>8838.9599999999991</v>
      </c>
      <c r="M136" s="3">
        <f t="shared" si="13"/>
        <v>6552</v>
      </c>
      <c r="N136" s="3">
        <f t="shared" si="14"/>
        <v>2286.9599999999991</v>
      </c>
    </row>
    <row r="137" spans="4:14" x14ac:dyDescent="0.35">
      <c r="D137" s="1" t="s">
        <v>503</v>
      </c>
      <c r="E137" s="1" t="s">
        <v>711</v>
      </c>
      <c r="F137" t="s">
        <v>333</v>
      </c>
      <c r="G137" s="12">
        <v>244</v>
      </c>
      <c r="H137" s="3">
        <v>79</v>
      </c>
      <c r="I137" s="3">
        <f t="shared" si="10"/>
        <v>19276</v>
      </c>
      <c r="J137" s="3">
        <f t="shared" si="11"/>
        <v>106.99</v>
      </c>
      <c r="K137" s="88">
        <v>170</v>
      </c>
      <c r="L137" s="3">
        <f t="shared" si="12"/>
        <v>18188.3</v>
      </c>
      <c r="M137" s="3">
        <f t="shared" si="13"/>
        <v>13430</v>
      </c>
      <c r="N137" s="3">
        <f t="shared" si="14"/>
        <v>4758.2999999999993</v>
      </c>
    </row>
    <row r="138" spans="4:14" x14ac:dyDescent="0.35">
      <c r="D138" s="1" t="s">
        <v>532</v>
      </c>
      <c r="E138" s="1" t="s">
        <v>885</v>
      </c>
      <c r="F138" t="s">
        <v>16</v>
      </c>
      <c r="G138" s="12">
        <v>278</v>
      </c>
      <c r="H138" s="3">
        <v>110</v>
      </c>
      <c r="I138" s="3">
        <f t="shared" si="10"/>
        <v>30580</v>
      </c>
      <c r="J138" s="3">
        <f t="shared" si="11"/>
        <v>148.99</v>
      </c>
      <c r="K138" s="88">
        <v>236</v>
      </c>
      <c r="L138" s="3">
        <f t="shared" si="12"/>
        <v>35161.64</v>
      </c>
      <c r="M138" s="3">
        <f t="shared" si="13"/>
        <v>25960</v>
      </c>
      <c r="N138" s="3">
        <f t="shared" si="14"/>
        <v>9201.64</v>
      </c>
    </row>
    <row r="139" spans="4:14" x14ac:dyDescent="0.35">
      <c r="D139" s="1" t="s">
        <v>2</v>
      </c>
      <c r="E139" s="1" t="s">
        <v>711</v>
      </c>
      <c r="F139" t="s">
        <v>17</v>
      </c>
      <c r="G139" s="12">
        <v>471</v>
      </c>
      <c r="H139" s="3">
        <v>16</v>
      </c>
      <c r="I139" s="3">
        <f t="shared" si="10"/>
        <v>7536</v>
      </c>
      <c r="J139" s="3">
        <f t="shared" si="11"/>
        <v>21.99</v>
      </c>
      <c r="K139" s="88">
        <v>411</v>
      </c>
      <c r="L139" s="3">
        <f t="shared" si="12"/>
        <v>9037.89</v>
      </c>
      <c r="M139" s="3">
        <f t="shared" si="13"/>
        <v>6576</v>
      </c>
      <c r="N139" s="3">
        <f t="shared" si="14"/>
        <v>2461.8899999999994</v>
      </c>
    </row>
    <row r="140" spans="4:14" x14ac:dyDescent="0.35">
      <c r="D140" s="1" t="s">
        <v>533</v>
      </c>
      <c r="E140" s="1" t="s">
        <v>885</v>
      </c>
      <c r="F140" t="s">
        <v>17</v>
      </c>
      <c r="G140" s="12">
        <v>340</v>
      </c>
      <c r="H140" s="3">
        <v>9</v>
      </c>
      <c r="I140" s="3">
        <f t="shared" si="10"/>
        <v>3060</v>
      </c>
      <c r="J140" s="3">
        <f t="shared" si="11"/>
        <v>11.99</v>
      </c>
      <c r="K140" s="88">
        <v>201</v>
      </c>
      <c r="L140" s="3">
        <f t="shared" si="12"/>
        <v>2409.9900000000002</v>
      </c>
      <c r="M140" s="3">
        <f t="shared" si="13"/>
        <v>1809</v>
      </c>
      <c r="N140" s="3">
        <f t="shared" si="14"/>
        <v>600.99000000000024</v>
      </c>
    </row>
    <row r="141" spans="4:14" x14ac:dyDescent="0.35">
      <c r="D141" s="1" t="s">
        <v>471</v>
      </c>
      <c r="E141" s="1" t="s">
        <v>711</v>
      </c>
      <c r="F141" t="s">
        <v>14</v>
      </c>
      <c r="G141" s="12">
        <v>241</v>
      </c>
      <c r="H141" s="3">
        <v>29</v>
      </c>
      <c r="I141" s="3">
        <f t="shared" si="10"/>
        <v>6989</v>
      </c>
      <c r="J141" s="3">
        <f t="shared" si="11"/>
        <v>38.99</v>
      </c>
      <c r="K141" s="88">
        <v>117</v>
      </c>
      <c r="L141" s="3">
        <f t="shared" si="12"/>
        <v>4561.83</v>
      </c>
      <c r="M141" s="3">
        <f t="shared" si="13"/>
        <v>3393</v>
      </c>
      <c r="N141" s="3">
        <f t="shared" si="14"/>
        <v>1168.83</v>
      </c>
    </row>
    <row r="142" spans="4:14" x14ac:dyDescent="0.35">
      <c r="D142" s="1" t="s">
        <v>491</v>
      </c>
      <c r="E142" s="1" t="s">
        <v>711</v>
      </c>
      <c r="F142" t="s">
        <v>9</v>
      </c>
      <c r="G142" s="12">
        <v>225</v>
      </c>
      <c r="H142" s="3">
        <v>59</v>
      </c>
      <c r="I142" s="3">
        <f t="shared" si="10"/>
        <v>13275</v>
      </c>
      <c r="J142" s="3">
        <f t="shared" si="11"/>
        <v>79.989999999999995</v>
      </c>
      <c r="K142" s="88">
        <v>196</v>
      </c>
      <c r="L142" s="3">
        <f t="shared" si="12"/>
        <v>15678.039999999999</v>
      </c>
      <c r="M142" s="3">
        <f t="shared" si="13"/>
        <v>11564</v>
      </c>
      <c r="N142" s="3">
        <f t="shared" si="14"/>
        <v>4114.0399999999991</v>
      </c>
    </row>
    <row r="143" spans="4:14" x14ac:dyDescent="0.35">
      <c r="D143" s="1" t="s">
        <v>534</v>
      </c>
      <c r="E143" s="1" t="s">
        <v>885</v>
      </c>
      <c r="F143" t="s">
        <v>11</v>
      </c>
      <c r="G143" s="12">
        <v>216</v>
      </c>
      <c r="H143" s="3">
        <v>45</v>
      </c>
      <c r="I143" s="3">
        <f t="shared" si="10"/>
        <v>9720</v>
      </c>
      <c r="J143" s="3">
        <f t="shared" si="11"/>
        <v>60.99</v>
      </c>
      <c r="K143" s="88">
        <v>132</v>
      </c>
      <c r="L143" s="3">
        <f t="shared" si="12"/>
        <v>8050.68</v>
      </c>
      <c r="M143" s="3">
        <f t="shared" si="13"/>
        <v>5940</v>
      </c>
      <c r="N143" s="3">
        <f t="shared" si="14"/>
        <v>2110.6800000000003</v>
      </c>
    </row>
    <row r="144" spans="4:14" x14ac:dyDescent="0.35">
      <c r="D144" s="1" t="s">
        <v>519</v>
      </c>
      <c r="E144" s="1" t="s">
        <v>711</v>
      </c>
      <c r="F144" t="s">
        <v>9</v>
      </c>
      <c r="G144" s="12">
        <v>318</v>
      </c>
      <c r="H144" s="3">
        <v>114</v>
      </c>
      <c r="I144" s="3">
        <f t="shared" si="10"/>
        <v>36252</v>
      </c>
      <c r="J144" s="3">
        <f t="shared" si="11"/>
        <v>153.99</v>
      </c>
      <c r="K144" s="88">
        <v>193</v>
      </c>
      <c r="L144" s="3">
        <f t="shared" si="12"/>
        <v>29720.070000000003</v>
      </c>
      <c r="M144" s="3">
        <f t="shared" si="13"/>
        <v>22002</v>
      </c>
      <c r="N144" s="3">
        <f t="shared" si="14"/>
        <v>7718.0700000000033</v>
      </c>
    </row>
    <row r="145" spans="4:14" x14ac:dyDescent="0.35">
      <c r="D145" s="1" t="s">
        <v>535</v>
      </c>
      <c r="E145" s="1" t="s">
        <v>894</v>
      </c>
      <c r="F145" t="s">
        <v>13</v>
      </c>
      <c r="G145" s="12">
        <v>419</v>
      </c>
      <c r="H145" s="3">
        <v>62</v>
      </c>
      <c r="I145" s="3">
        <f t="shared" si="10"/>
        <v>25978</v>
      </c>
      <c r="J145" s="3">
        <f t="shared" si="11"/>
        <v>83.99</v>
      </c>
      <c r="K145" s="88">
        <v>332</v>
      </c>
      <c r="L145" s="3">
        <f t="shared" si="12"/>
        <v>27884.679999999997</v>
      </c>
      <c r="M145" s="3">
        <f t="shared" si="13"/>
        <v>20584</v>
      </c>
      <c r="N145" s="3">
        <f t="shared" si="14"/>
        <v>7300.6799999999967</v>
      </c>
    </row>
    <row r="146" spans="4:14" x14ac:dyDescent="0.35">
      <c r="D146" s="1" t="s">
        <v>536</v>
      </c>
      <c r="E146" s="1" t="s">
        <v>711</v>
      </c>
      <c r="F146" t="s">
        <v>17</v>
      </c>
      <c r="G146" s="12">
        <v>100</v>
      </c>
      <c r="H146" s="3">
        <v>26</v>
      </c>
      <c r="I146" s="3">
        <f t="shared" si="10"/>
        <v>2600</v>
      </c>
      <c r="J146" s="3">
        <f t="shared" si="11"/>
        <v>34.99</v>
      </c>
      <c r="K146" s="88">
        <v>100</v>
      </c>
      <c r="L146" s="3">
        <f t="shared" si="12"/>
        <v>3499</v>
      </c>
      <c r="M146" s="3">
        <f t="shared" si="13"/>
        <v>2600</v>
      </c>
      <c r="N146" s="3">
        <f t="shared" si="14"/>
        <v>899</v>
      </c>
    </row>
    <row r="147" spans="4:14" x14ac:dyDescent="0.35">
      <c r="D147" s="1" t="s">
        <v>537</v>
      </c>
      <c r="E147" s="1" t="s">
        <v>885</v>
      </c>
      <c r="F147" t="s">
        <v>16</v>
      </c>
      <c r="G147" s="12">
        <v>437</v>
      </c>
      <c r="H147" s="3">
        <v>100</v>
      </c>
      <c r="I147" s="3">
        <f t="shared" si="10"/>
        <v>43700</v>
      </c>
      <c r="J147" s="3">
        <f t="shared" si="11"/>
        <v>134.99</v>
      </c>
      <c r="K147" s="88">
        <v>361</v>
      </c>
      <c r="L147" s="3">
        <f t="shared" si="12"/>
        <v>48731.390000000007</v>
      </c>
      <c r="M147" s="3">
        <f t="shared" si="13"/>
        <v>36100</v>
      </c>
      <c r="N147" s="3">
        <f t="shared" si="14"/>
        <v>12631.390000000007</v>
      </c>
    </row>
    <row r="148" spans="4:14" x14ac:dyDescent="0.35">
      <c r="D148" s="1" t="s">
        <v>538</v>
      </c>
      <c r="E148" s="1" t="s">
        <v>885</v>
      </c>
      <c r="F148" t="s">
        <v>13</v>
      </c>
      <c r="G148" s="12">
        <v>269</v>
      </c>
      <c r="H148" s="3">
        <v>31</v>
      </c>
      <c r="I148" s="3">
        <f t="shared" si="10"/>
        <v>8339</v>
      </c>
      <c r="J148" s="3">
        <f t="shared" si="11"/>
        <v>41.99</v>
      </c>
      <c r="K148" s="88">
        <v>229</v>
      </c>
      <c r="L148" s="3">
        <f t="shared" si="12"/>
        <v>9615.7100000000009</v>
      </c>
      <c r="M148" s="3">
        <f t="shared" si="13"/>
        <v>7099</v>
      </c>
      <c r="N148" s="3">
        <f t="shared" si="14"/>
        <v>2516.7100000000009</v>
      </c>
    </row>
    <row r="149" spans="4:14" x14ac:dyDescent="0.35">
      <c r="D149" s="1" t="s">
        <v>539</v>
      </c>
      <c r="E149" s="1" t="s">
        <v>711</v>
      </c>
      <c r="F149" t="s">
        <v>16</v>
      </c>
      <c r="G149" s="12">
        <v>285</v>
      </c>
      <c r="H149" s="3">
        <v>58</v>
      </c>
      <c r="I149" s="3">
        <f t="shared" si="10"/>
        <v>16530</v>
      </c>
      <c r="J149" s="3">
        <f t="shared" si="11"/>
        <v>77.989999999999995</v>
      </c>
      <c r="K149" s="88">
        <v>171</v>
      </c>
      <c r="L149" s="3">
        <f t="shared" si="12"/>
        <v>13336.289999999999</v>
      </c>
      <c r="M149" s="3">
        <f t="shared" si="13"/>
        <v>9918</v>
      </c>
      <c r="N149" s="3">
        <f t="shared" si="14"/>
        <v>3418.2899999999991</v>
      </c>
    </row>
    <row r="150" spans="4:14" x14ac:dyDescent="0.35">
      <c r="D150" s="1" t="s">
        <v>540</v>
      </c>
      <c r="E150" s="1" t="s">
        <v>711</v>
      </c>
      <c r="F150" t="s">
        <v>9</v>
      </c>
      <c r="G150" s="12">
        <v>395</v>
      </c>
      <c r="H150" s="3">
        <v>24</v>
      </c>
      <c r="I150" s="3">
        <f t="shared" si="10"/>
        <v>9480</v>
      </c>
      <c r="J150" s="3">
        <f t="shared" si="11"/>
        <v>31.99</v>
      </c>
      <c r="K150" s="88">
        <v>305</v>
      </c>
      <c r="L150" s="3">
        <f t="shared" si="12"/>
        <v>9756.9499999999989</v>
      </c>
      <c r="M150" s="3">
        <f t="shared" si="13"/>
        <v>7320</v>
      </c>
      <c r="N150" s="3">
        <f t="shared" si="14"/>
        <v>2436.9499999999989</v>
      </c>
    </row>
    <row r="151" spans="4:14" x14ac:dyDescent="0.35">
      <c r="D151" s="1" t="s">
        <v>541</v>
      </c>
      <c r="E151" s="1" t="s">
        <v>885</v>
      </c>
      <c r="F151" t="s">
        <v>10</v>
      </c>
      <c r="G151" s="12">
        <v>407</v>
      </c>
      <c r="H151" s="3">
        <v>117</v>
      </c>
      <c r="I151" s="3">
        <f t="shared" si="10"/>
        <v>47619</v>
      </c>
      <c r="J151" s="3">
        <f t="shared" si="11"/>
        <v>157.99</v>
      </c>
      <c r="K151" s="88">
        <v>407</v>
      </c>
      <c r="L151" s="3">
        <f t="shared" si="12"/>
        <v>64301.93</v>
      </c>
      <c r="M151" s="3">
        <f t="shared" si="13"/>
        <v>47619</v>
      </c>
      <c r="N151" s="3">
        <f t="shared" si="14"/>
        <v>16682.93</v>
      </c>
    </row>
    <row r="152" spans="4:14" x14ac:dyDescent="0.35">
      <c r="D152" s="1" t="s">
        <v>542</v>
      </c>
      <c r="E152" s="1" t="s">
        <v>711</v>
      </c>
      <c r="F152" t="s">
        <v>333</v>
      </c>
      <c r="G152" s="12">
        <v>189</v>
      </c>
      <c r="H152" s="3">
        <v>20</v>
      </c>
      <c r="I152" s="3">
        <f t="shared" si="10"/>
        <v>3780</v>
      </c>
      <c r="J152" s="3">
        <f t="shared" si="11"/>
        <v>26.99</v>
      </c>
      <c r="K152" s="88">
        <v>141</v>
      </c>
      <c r="L152" s="3">
        <f t="shared" si="12"/>
        <v>3805.5899999999997</v>
      </c>
      <c r="M152" s="3">
        <f t="shared" si="13"/>
        <v>2820</v>
      </c>
      <c r="N152" s="3">
        <f t="shared" si="14"/>
        <v>985.58999999999969</v>
      </c>
    </row>
    <row r="153" spans="4:14" x14ac:dyDescent="0.35">
      <c r="D153" s="1" t="s">
        <v>543</v>
      </c>
      <c r="E153" s="1" t="s">
        <v>711</v>
      </c>
      <c r="F153" t="s">
        <v>15</v>
      </c>
      <c r="G153" s="12">
        <v>394</v>
      </c>
      <c r="H153" s="3">
        <v>103</v>
      </c>
      <c r="I153" s="3">
        <f t="shared" si="10"/>
        <v>40582</v>
      </c>
      <c r="J153" s="3">
        <f t="shared" si="11"/>
        <v>138.99</v>
      </c>
      <c r="K153" s="88">
        <v>336</v>
      </c>
      <c r="L153" s="3">
        <f t="shared" si="12"/>
        <v>46700.639999999999</v>
      </c>
      <c r="M153" s="3">
        <f t="shared" si="13"/>
        <v>34608</v>
      </c>
      <c r="N153" s="3">
        <f t="shared" si="14"/>
        <v>12092.64</v>
      </c>
    </row>
    <row r="154" spans="4:14" x14ac:dyDescent="0.35">
      <c r="D154" s="1" t="s">
        <v>544</v>
      </c>
      <c r="E154" s="1" t="s">
        <v>891</v>
      </c>
      <c r="F154" t="s">
        <v>333</v>
      </c>
      <c r="G154" s="12">
        <v>308</v>
      </c>
      <c r="H154" s="3">
        <v>115</v>
      </c>
      <c r="I154" s="3">
        <f t="shared" si="10"/>
        <v>35420</v>
      </c>
      <c r="J154" s="3">
        <f t="shared" si="11"/>
        <v>154.99</v>
      </c>
      <c r="K154" s="88">
        <v>284</v>
      </c>
      <c r="L154" s="3">
        <f t="shared" si="12"/>
        <v>44017.16</v>
      </c>
      <c r="M154" s="3">
        <f t="shared" si="13"/>
        <v>32660</v>
      </c>
      <c r="N154" s="3">
        <f t="shared" si="14"/>
        <v>11357.160000000003</v>
      </c>
    </row>
    <row r="155" spans="4:14" x14ac:dyDescent="0.35">
      <c r="D155" s="1" t="s">
        <v>545</v>
      </c>
      <c r="E155" s="1" t="s">
        <v>711</v>
      </c>
      <c r="F155" t="s">
        <v>15</v>
      </c>
      <c r="G155" s="12">
        <v>370</v>
      </c>
      <c r="H155" s="3">
        <v>146</v>
      </c>
      <c r="I155" s="3">
        <f t="shared" si="10"/>
        <v>54020</v>
      </c>
      <c r="J155" s="3">
        <f t="shared" si="11"/>
        <v>196.99</v>
      </c>
      <c r="K155" s="88">
        <v>340</v>
      </c>
      <c r="L155" s="3">
        <f t="shared" si="12"/>
        <v>66976.600000000006</v>
      </c>
      <c r="M155" s="3">
        <f t="shared" si="13"/>
        <v>49640</v>
      </c>
      <c r="N155" s="3">
        <f t="shared" si="14"/>
        <v>17336.600000000006</v>
      </c>
    </row>
    <row r="156" spans="4:14" x14ac:dyDescent="0.35">
      <c r="D156" s="1" t="s">
        <v>454</v>
      </c>
      <c r="E156" s="1" t="s">
        <v>711</v>
      </c>
      <c r="F156" t="s">
        <v>14</v>
      </c>
      <c r="G156" s="12">
        <v>185</v>
      </c>
      <c r="H156" s="3">
        <v>61</v>
      </c>
      <c r="I156" s="3">
        <f t="shared" si="10"/>
        <v>11285</v>
      </c>
      <c r="J156" s="3">
        <f t="shared" si="11"/>
        <v>81.99</v>
      </c>
      <c r="K156" s="88">
        <v>161</v>
      </c>
      <c r="L156" s="3">
        <f t="shared" si="12"/>
        <v>13200.39</v>
      </c>
      <c r="M156" s="3">
        <f t="shared" si="13"/>
        <v>9821</v>
      </c>
      <c r="N156" s="3">
        <f t="shared" si="14"/>
        <v>3379.3899999999994</v>
      </c>
    </row>
    <row r="157" spans="4:14" x14ac:dyDescent="0.35">
      <c r="D157" s="1" t="s">
        <v>546</v>
      </c>
      <c r="E157" s="1" t="s">
        <v>898</v>
      </c>
      <c r="F157" t="s">
        <v>13</v>
      </c>
      <c r="G157" s="12">
        <v>248</v>
      </c>
      <c r="H157" s="3">
        <v>13</v>
      </c>
      <c r="I157" s="3">
        <f t="shared" si="10"/>
        <v>3224</v>
      </c>
      <c r="J157" s="3">
        <f t="shared" si="11"/>
        <v>17.989999999999998</v>
      </c>
      <c r="K157" s="88">
        <v>186</v>
      </c>
      <c r="L157" s="3">
        <f t="shared" si="12"/>
        <v>3346.14</v>
      </c>
      <c r="M157" s="3">
        <f t="shared" si="13"/>
        <v>2418</v>
      </c>
      <c r="N157" s="3">
        <f t="shared" si="14"/>
        <v>928.13999999999987</v>
      </c>
    </row>
    <row r="158" spans="4:14" x14ac:dyDescent="0.35">
      <c r="D158" s="1" t="s">
        <v>464</v>
      </c>
      <c r="E158" s="1" t="s">
        <v>887</v>
      </c>
      <c r="F158" t="s">
        <v>12</v>
      </c>
      <c r="G158" s="12">
        <v>371</v>
      </c>
      <c r="H158" s="3">
        <v>115</v>
      </c>
      <c r="I158" s="3">
        <f t="shared" si="10"/>
        <v>42665</v>
      </c>
      <c r="J158" s="3">
        <f t="shared" si="11"/>
        <v>154.99</v>
      </c>
      <c r="K158" s="88">
        <v>301</v>
      </c>
      <c r="L158" s="3">
        <f t="shared" si="12"/>
        <v>46651.990000000005</v>
      </c>
      <c r="M158" s="3">
        <f t="shared" si="13"/>
        <v>34615</v>
      </c>
      <c r="N158" s="3">
        <f t="shared" si="14"/>
        <v>12036.990000000005</v>
      </c>
    </row>
    <row r="159" spans="4:14" x14ac:dyDescent="0.35">
      <c r="D159" s="1" t="s">
        <v>547</v>
      </c>
      <c r="E159" s="1" t="s">
        <v>899</v>
      </c>
      <c r="F159" t="s">
        <v>15</v>
      </c>
      <c r="G159" s="12">
        <v>320</v>
      </c>
      <c r="H159" s="3">
        <v>28</v>
      </c>
      <c r="I159" s="3">
        <f t="shared" si="10"/>
        <v>8960</v>
      </c>
      <c r="J159" s="3">
        <f t="shared" si="11"/>
        <v>37.99</v>
      </c>
      <c r="K159" s="88">
        <v>305</v>
      </c>
      <c r="L159" s="3">
        <f t="shared" si="12"/>
        <v>11586.95</v>
      </c>
      <c r="M159" s="3">
        <f t="shared" si="13"/>
        <v>8540</v>
      </c>
      <c r="N159" s="3">
        <f t="shared" si="14"/>
        <v>3046.9500000000007</v>
      </c>
    </row>
    <row r="160" spans="4:14" x14ac:dyDescent="0.35">
      <c r="D160" s="1" t="s">
        <v>499</v>
      </c>
      <c r="E160" s="1" t="s">
        <v>711</v>
      </c>
      <c r="F160" t="s">
        <v>13</v>
      </c>
      <c r="G160" s="12">
        <v>280</v>
      </c>
      <c r="H160" s="3">
        <v>108</v>
      </c>
      <c r="I160" s="3">
        <f t="shared" si="10"/>
        <v>30240</v>
      </c>
      <c r="J160" s="3">
        <f t="shared" si="11"/>
        <v>145.99</v>
      </c>
      <c r="K160" s="88">
        <v>237</v>
      </c>
      <c r="L160" s="3">
        <f t="shared" si="12"/>
        <v>34599.630000000005</v>
      </c>
      <c r="M160" s="3">
        <f t="shared" si="13"/>
        <v>25596</v>
      </c>
      <c r="N160" s="3">
        <f t="shared" si="14"/>
        <v>9003.6300000000047</v>
      </c>
    </row>
    <row r="161" spans="4:14" x14ac:dyDescent="0.35">
      <c r="D161" s="1" t="s">
        <v>470</v>
      </c>
      <c r="E161" s="1" t="s">
        <v>885</v>
      </c>
      <c r="F161" t="s">
        <v>13</v>
      </c>
      <c r="G161" s="12">
        <v>130</v>
      </c>
      <c r="H161" s="3">
        <v>48</v>
      </c>
      <c r="I161" s="3">
        <f t="shared" si="10"/>
        <v>6240</v>
      </c>
      <c r="J161" s="3">
        <f t="shared" si="11"/>
        <v>64.989999999999995</v>
      </c>
      <c r="K161" s="88">
        <v>108</v>
      </c>
      <c r="L161" s="3">
        <f t="shared" si="12"/>
        <v>7018.9199999999992</v>
      </c>
      <c r="M161" s="3">
        <f t="shared" si="13"/>
        <v>5184</v>
      </c>
      <c r="N161" s="3">
        <f t="shared" si="14"/>
        <v>1834.9199999999992</v>
      </c>
    </row>
    <row r="162" spans="4:14" x14ac:dyDescent="0.35">
      <c r="D162" s="1" t="s">
        <v>476</v>
      </c>
      <c r="E162" s="1" t="s">
        <v>711</v>
      </c>
      <c r="F162" t="s">
        <v>11</v>
      </c>
      <c r="G162" s="12">
        <v>338</v>
      </c>
      <c r="H162" s="3">
        <v>135</v>
      </c>
      <c r="I162" s="3">
        <f t="shared" si="10"/>
        <v>45630</v>
      </c>
      <c r="J162" s="3">
        <f t="shared" si="11"/>
        <v>181.99</v>
      </c>
      <c r="K162" s="88">
        <v>162</v>
      </c>
      <c r="L162" s="3">
        <f t="shared" si="12"/>
        <v>29482.38</v>
      </c>
      <c r="M162" s="3">
        <f t="shared" si="13"/>
        <v>21870</v>
      </c>
      <c r="N162" s="3">
        <f t="shared" si="14"/>
        <v>7612.380000000001</v>
      </c>
    </row>
    <row r="163" spans="4:14" x14ac:dyDescent="0.35">
      <c r="D163" s="1" t="s">
        <v>548</v>
      </c>
      <c r="E163" s="1" t="s">
        <v>887</v>
      </c>
      <c r="F163" t="s">
        <v>15</v>
      </c>
      <c r="G163" s="12">
        <v>134</v>
      </c>
      <c r="H163" s="3">
        <v>69</v>
      </c>
      <c r="I163" s="3">
        <f t="shared" si="10"/>
        <v>9246</v>
      </c>
      <c r="J163" s="3">
        <f t="shared" si="11"/>
        <v>92.99</v>
      </c>
      <c r="K163" s="88">
        <v>131</v>
      </c>
      <c r="L163" s="3">
        <f t="shared" si="12"/>
        <v>12181.689999999999</v>
      </c>
      <c r="M163" s="3">
        <f t="shared" si="13"/>
        <v>9039</v>
      </c>
      <c r="N163" s="3">
        <f t="shared" si="14"/>
        <v>3142.6899999999987</v>
      </c>
    </row>
    <row r="164" spans="4:14" x14ac:dyDescent="0.35">
      <c r="D164" s="1" t="s">
        <v>549</v>
      </c>
      <c r="E164" s="1" t="s">
        <v>891</v>
      </c>
      <c r="F164" t="s">
        <v>333</v>
      </c>
      <c r="G164" s="12">
        <v>479</v>
      </c>
      <c r="H164" s="3">
        <v>40</v>
      </c>
      <c r="I164" s="3">
        <f t="shared" si="10"/>
        <v>19160</v>
      </c>
      <c r="J164" s="3">
        <f t="shared" si="11"/>
        <v>53.99</v>
      </c>
      <c r="K164" s="88">
        <v>335</v>
      </c>
      <c r="L164" s="3">
        <f t="shared" si="12"/>
        <v>18086.650000000001</v>
      </c>
      <c r="M164" s="3">
        <f t="shared" si="13"/>
        <v>13400</v>
      </c>
      <c r="N164" s="3">
        <f t="shared" si="14"/>
        <v>4686.6500000000015</v>
      </c>
    </row>
    <row r="165" spans="4:14" x14ac:dyDescent="0.35">
      <c r="D165" s="1" t="s">
        <v>550</v>
      </c>
      <c r="E165" s="1" t="s">
        <v>711</v>
      </c>
      <c r="F165" t="s">
        <v>12</v>
      </c>
      <c r="G165" s="12">
        <v>306</v>
      </c>
      <c r="H165" s="3">
        <v>51</v>
      </c>
      <c r="I165" s="3">
        <f t="shared" si="10"/>
        <v>15606</v>
      </c>
      <c r="J165" s="3">
        <f t="shared" si="11"/>
        <v>68.989999999999995</v>
      </c>
      <c r="K165" s="88">
        <v>146</v>
      </c>
      <c r="L165" s="3">
        <f t="shared" si="12"/>
        <v>10072.539999999999</v>
      </c>
      <c r="M165" s="3">
        <f t="shared" si="13"/>
        <v>7446</v>
      </c>
      <c r="N165" s="3">
        <f t="shared" si="14"/>
        <v>2626.5399999999991</v>
      </c>
    </row>
    <row r="166" spans="4:14" x14ac:dyDescent="0.35">
      <c r="D166" s="1" t="s">
        <v>551</v>
      </c>
      <c r="E166" s="1" t="s">
        <v>885</v>
      </c>
      <c r="F166" t="s">
        <v>333</v>
      </c>
      <c r="G166" s="12">
        <v>202</v>
      </c>
      <c r="H166" s="3">
        <v>49</v>
      </c>
      <c r="I166" s="3">
        <f t="shared" si="10"/>
        <v>9898</v>
      </c>
      <c r="J166" s="3">
        <f t="shared" si="11"/>
        <v>65.989999999999995</v>
      </c>
      <c r="K166" s="88">
        <v>182</v>
      </c>
      <c r="L166" s="3">
        <f t="shared" si="12"/>
        <v>12010.179999999998</v>
      </c>
      <c r="M166" s="3">
        <f t="shared" si="13"/>
        <v>8918</v>
      </c>
      <c r="N166" s="3">
        <f t="shared" si="14"/>
        <v>3092.1799999999985</v>
      </c>
    </row>
    <row r="167" spans="4:14" x14ac:dyDescent="0.35">
      <c r="D167" s="1" t="s">
        <v>552</v>
      </c>
      <c r="E167" s="1" t="s">
        <v>711</v>
      </c>
      <c r="F167" t="s">
        <v>13</v>
      </c>
      <c r="G167" s="12">
        <v>151</v>
      </c>
      <c r="H167" s="3">
        <v>29</v>
      </c>
      <c r="I167" s="3">
        <f t="shared" si="10"/>
        <v>4379</v>
      </c>
      <c r="J167" s="3">
        <f t="shared" si="11"/>
        <v>38.99</v>
      </c>
      <c r="K167" s="88">
        <v>138</v>
      </c>
      <c r="L167" s="3">
        <f t="shared" si="12"/>
        <v>5380.62</v>
      </c>
      <c r="M167" s="3">
        <f t="shared" si="13"/>
        <v>4002</v>
      </c>
      <c r="N167" s="3">
        <f t="shared" si="14"/>
        <v>1378.62</v>
      </c>
    </row>
    <row r="168" spans="4:14" x14ac:dyDescent="0.35">
      <c r="D168" s="1" t="s">
        <v>553</v>
      </c>
      <c r="E168" s="1" t="s">
        <v>711</v>
      </c>
      <c r="F168" t="s">
        <v>13</v>
      </c>
      <c r="G168" s="12">
        <v>472</v>
      </c>
      <c r="H168" s="3">
        <v>74</v>
      </c>
      <c r="I168" s="3">
        <f t="shared" si="10"/>
        <v>34928</v>
      </c>
      <c r="J168" s="3">
        <f t="shared" si="11"/>
        <v>99.99</v>
      </c>
      <c r="K168" s="88">
        <v>407</v>
      </c>
      <c r="L168" s="3">
        <f t="shared" si="12"/>
        <v>40695.93</v>
      </c>
      <c r="M168" s="3">
        <f t="shared" si="13"/>
        <v>30118</v>
      </c>
      <c r="N168" s="3">
        <f t="shared" si="14"/>
        <v>10577.93</v>
      </c>
    </row>
    <row r="169" spans="4:14" x14ac:dyDescent="0.35">
      <c r="D169" s="1" t="s">
        <v>554</v>
      </c>
      <c r="E169" s="1" t="s">
        <v>711</v>
      </c>
      <c r="F169" t="s">
        <v>9</v>
      </c>
      <c r="G169" s="12">
        <v>170</v>
      </c>
      <c r="H169" s="3">
        <v>31</v>
      </c>
      <c r="I169" s="3">
        <f t="shared" si="10"/>
        <v>5270</v>
      </c>
      <c r="J169" s="3">
        <f t="shared" si="11"/>
        <v>41.99</v>
      </c>
      <c r="K169" s="88">
        <v>125</v>
      </c>
      <c r="L169" s="3">
        <f t="shared" si="12"/>
        <v>5248.75</v>
      </c>
      <c r="M169" s="3">
        <f t="shared" si="13"/>
        <v>3875</v>
      </c>
      <c r="N169" s="3">
        <f t="shared" si="14"/>
        <v>1373.75</v>
      </c>
    </row>
    <row r="170" spans="4:14" x14ac:dyDescent="0.35">
      <c r="D170" s="1" t="s">
        <v>555</v>
      </c>
      <c r="E170" s="1" t="s">
        <v>711</v>
      </c>
      <c r="F170" t="s">
        <v>333</v>
      </c>
      <c r="G170" s="12">
        <v>496</v>
      </c>
      <c r="H170" s="3">
        <v>141</v>
      </c>
      <c r="I170" s="3">
        <f t="shared" si="10"/>
        <v>69936</v>
      </c>
      <c r="J170" s="3">
        <f t="shared" si="11"/>
        <v>189.99</v>
      </c>
      <c r="K170" s="88">
        <v>103</v>
      </c>
      <c r="L170" s="3">
        <f t="shared" si="12"/>
        <v>19568.97</v>
      </c>
      <c r="M170" s="3">
        <f t="shared" si="13"/>
        <v>14523</v>
      </c>
      <c r="N170" s="3">
        <f t="shared" si="14"/>
        <v>5045.9700000000012</v>
      </c>
    </row>
    <row r="171" spans="4:14" x14ac:dyDescent="0.35">
      <c r="D171" s="1" t="s">
        <v>556</v>
      </c>
      <c r="E171" s="1" t="s">
        <v>885</v>
      </c>
      <c r="F171" t="s">
        <v>11</v>
      </c>
      <c r="G171" s="12">
        <v>234</v>
      </c>
      <c r="H171" s="3">
        <v>66</v>
      </c>
      <c r="I171" s="3">
        <f t="shared" si="10"/>
        <v>15444</v>
      </c>
      <c r="J171" s="3">
        <f t="shared" si="11"/>
        <v>88.99</v>
      </c>
      <c r="K171" s="88">
        <v>180</v>
      </c>
      <c r="L171" s="3">
        <f t="shared" si="12"/>
        <v>16018.199999999999</v>
      </c>
      <c r="M171" s="3">
        <f t="shared" si="13"/>
        <v>11880</v>
      </c>
      <c r="N171" s="3">
        <f t="shared" si="14"/>
        <v>4138.1999999999989</v>
      </c>
    </row>
    <row r="172" spans="4:14" x14ac:dyDescent="0.35">
      <c r="D172" s="1" t="s">
        <v>557</v>
      </c>
      <c r="E172" s="1" t="s">
        <v>894</v>
      </c>
      <c r="F172" t="s">
        <v>16</v>
      </c>
      <c r="G172" s="12">
        <v>383</v>
      </c>
      <c r="H172" s="3">
        <v>147</v>
      </c>
      <c r="I172" s="3">
        <f t="shared" si="10"/>
        <v>56301</v>
      </c>
      <c r="J172" s="3">
        <f t="shared" si="11"/>
        <v>197.99</v>
      </c>
      <c r="K172" s="88">
        <v>263</v>
      </c>
      <c r="L172" s="3">
        <f t="shared" si="12"/>
        <v>52071.37</v>
      </c>
      <c r="M172" s="3">
        <f t="shared" si="13"/>
        <v>38661</v>
      </c>
      <c r="N172" s="3">
        <f t="shared" si="14"/>
        <v>13410.370000000003</v>
      </c>
    </row>
    <row r="173" spans="4:14" x14ac:dyDescent="0.35">
      <c r="D173" s="1" t="s">
        <v>558</v>
      </c>
      <c r="E173" s="1" t="s">
        <v>711</v>
      </c>
      <c r="F173" t="s">
        <v>333</v>
      </c>
      <c r="G173" s="12">
        <v>341</v>
      </c>
      <c r="H173" s="3">
        <v>149</v>
      </c>
      <c r="I173" s="3">
        <f t="shared" si="10"/>
        <v>50809</v>
      </c>
      <c r="J173" s="3">
        <f t="shared" si="11"/>
        <v>200.99</v>
      </c>
      <c r="K173" s="88">
        <v>265</v>
      </c>
      <c r="L173" s="3">
        <f t="shared" si="12"/>
        <v>53262.350000000006</v>
      </c>
      <c r="M173" s="3">
        <f t="shared" si="13"/>
        <v>39485</v>
      </c>
      <c r="N173" s="3">
        <f t="shared" si="14"/>
        <v>13777.350000000006</v>
      </c>
    </row>
    <row r="174" spans="4:14" x14ac:dyDescent="0.35">
      <c r="D174" s="1" t="s">
        <v>559</v>
      </c>
      <c r="E174" s="1" t="s">
        <v>900</v>
      </c>
      <c r="F174" t="s">
        <v>14</v>
      </c>
      <c r="G174" s="12">
        <v>197</v>
      </c>
      <c r="H174" s="3">
        <v>2</v>
      </c>
      <c r="I174" s="3">
        <f t="shared" si="10"/>
        <v>394</v>
      </c>
      <c r="J174" s="3">
        <f t="shared" si="11"/>
        <v>2.99</v>
      </c>
      <c r="K174" s="88">
        <v>146</v>
      </c>
      <c r="L174" s="3">
        <f t="shared" si="12"/>
        <v>436.54</v>
      </c>
      <c r="M174" s="3">
        <f t="shared" si="13"/>
        <v>292</v>
      </c>
      <c r="N174" s="3">
        <f t="shared" si="14"/>
        <v>144.54000000000002</v>
      </c>
    </row>
    <row r="175" spans="4:14" x14ac:dyDescent="0.35">
      <c r="D175" s="1" t="s">
        <v>560</v>
      </c>
      <c r="E175" s="1" t="s">
        <v>885</v>
      </c>
      <c r="F175" t="s">
        <v>333</v>
      </c>
      <c r="G175" s="12">
        <v>111</v>
      </c>
      <c r="H175" s="3">
        <v>69</v>
      </c>
      <c r="I175" s="3">
        <f t="shared" si="10"/>
        <v>7659</v>
      </c>
      <c r="J175" s="3">
        <f t="shared" si="11"/>
        <v>92.99</v>
      </c>
      <c r="K175" s="88">
        <v>102</v>
      </c>
      <c r="L175" s="3">
        <f t="shared" si="12"/>
        <v>9484.98</v>
      </c>
      <c r="M175" s="3">
        <f t="shared" si="13"/>
        <v>7038</v>
      </c>
      <c r="N175" s="3">
        <f t="shared" si="14"/>
        <v>2446.9799999999996</v>
      </c>
    </row>
    <row r="176" spans="4:14" x14ac:dyDescent="0.35">
      <c r="D176" s="1" t="s">
        <v>495</v>
      </c>
      <c r="E176" s="1" t="s">
        <v>711</v>
      </c>
      <c r="F176" t="s">
        <v>14</v>
      </c>
      <c r="G176" s="12">
        <v>463</v>
      </c>
      <c r="H176" s="3">
        <v>85</v>
      </c>
      <c r="I176" s="3">
        <f t="shared" si="10"/>
        <v>39355</v>
      </c>
      <c r="J176" s="3">
        <f t="shared" si="11"/>
        <v>114.99</v>
      </c>
      <c r="K176" s="88">
        <v>213</v>
      </c>
      <c r="L176" s="3">
        <f t="shared" si="12"/>
        <v>24492.87</v>
      </c>
      <c r="M176" s="3">
        <f t="shared" si="13"/>
        <v>18105</v>
      </c>
      <c r="N176" s="3">
        <f t="shared" si="14"/>
        <v>6387.869999999999</v>
      </c>
    </row>
    <row r="177" spans="4:14" x14ac:dyDescent="0.35">
      <c r="D177" s="1" t="s">
        <v>561</v>
      </c>
      <c r="E177" s="1" t="s">
        <v>711</v>
      </c>
      <c r="F177" t="s">
        <v>17</v>
      </c>
      <c r="G177" s="12">
        <v>402</v>
      </c>
      <c r="H177" s="3">
        <v>60</v>
      </c>
      <c r="I177" s="3">
        <f t="shared" si="10"/>
        <v>24120</v>
      </c>
      <c r="J177" s="3">
        <f t="shared" si="11"/>
        <v>80.989999999999995</v>
      </c>
      <c r="K177" s="88">
        <v>116</v>
      </c>
      <c r="L177" s="3">
        <f t="shared" si="12"/>
        <v>9394.84</v>
      </c>
      <c r="M177" s="3">
        <f t="shared" si="13"/>
        <v>6960</v>
      </c>
      <c r="N177" s="3">
        <f t="shared" si="14"/>
        <v>2434.84</v>
      </c>
    </row>
    <row r="178" spans="4:14" x14ac:dyDescent="0.35">
      <c r="D178" s="1" t="s">
        <v>452</v>
      </c>
      <c r="E178" s="1" t="s">
        <v>711</v>
      </c>
      <c r="F178" t="s">
        <v>17</v>
      </c>
      <c r="G178" s="12">
        <v>270</v>
      </c>
      <c r="H178" s="3">
        <v>115</v>
      </c>
      <c r="I178" s="3">
        <f t="shared" si="10"/>
        <v>31050</v>
      </c>
      <c r="J178" s="3">
        <f t="shared" si="11"/>
        <v>154.99</v>
      </c>
      <c r="K178" s="88">
        <v>130</v>
      </c>
      <c r="L178" s="3">
        <f t="shared" si="12"/>
        <v>20148.7</v>
      </c>
      <c r="M178" s="3">
        <f t="shared" si="13"/>
        <v>14950</v>
      </c>
      <c r="N178" s="3">
        <f t="shared" si="14"/>
        <v>5198.7000000000007</v>
      </c>
    </row>
    <row r="179" spans="4:14" x14ac:dyDescent="0.35">
      <c r="D179" s="1" t="s">
        <v>3</v>
      </c>
      <c r="E179" s="1" t="s">
        <v>711</v>
      </c>
      <c r="F179" t="s">
        <v>15</v>
      </c>
      <c r="G179" s="12">
        <v>420</v>
      </c>
      <c r="H179" s="3">
        <v>48</v>
      </c>
      <c r="I179" s="3">
        <f t="shared" si="10"/>
        <v>20160</v>
      </c>
      <c r="J179" s="3">
        <f t="shared" si="11"/>
        <v>64.989999999999995</v>
      </c>
      <c r="K179" s="88">
        <v>283</v>
      </c>
      <c r="L179" s="3">
        <f t="shared" si="12"/>
        <v>18392.169999999998</v>
      </c>
      <c r="M179" s="3">
        <f t="shared" si="13"/>
        <v>13584</v>
      </c>
      <c r="N179" s="3">
        <f t="shared" si="14"/>
        <v>4808.1699999999983</v>
      </c>
    </row>
    <row r="180" spans="4:14" x14ac:dyDescent="0.35">
      <c r="D180" s="1" t="s">
        <v>562</v>
      </c>
      <c r="E180" s="1" t="s">
        <v>711</v>
      </c>
      <c r="F180" t="s">
        <v>10</v>
      </c>
      <c r="G180" s="12">
        <v>191</v>
      </c>
      <c r="H180" s="3">
        <v>100</v>
      </c>
      <c r="I180" s="3">
        <f t="shared" si="10"/>
        <v>19100</v>
      </c>
      <c r="J180" s="3">
        <f t="shared" si="11"/>
        <v>134.99</v>
      </c>
      <c r="K180" s="88">
        <v>159</v>
      </c>
      <c r="L180" s="3">
        <f t="shared" si="12"/>
        <v>21463.41</v>
      </c>
      <c r="M180" s="3">
        <f t="shared" si="13"/>
        <v>15900</v>
      </c>
      <c r="N180" s="3">
        <f t="shared" si="14"/>
        <v>5563.41</v>
      </c>
    </row>
    <row r="181" spans="4:14" x14ac:dyDescent="0.35">
      <c r="D181" s="1" t="s">
        <v>539</v>
      </c>
      <c r="E181" s="1" t="s">
        <v>711</v>
      </c>
      <c r="F181" t="s">
        <v>12</v>
      </c>
      <c r="G181" s="12">
        <v>483</v>
      </c>
      <c r="H181" s="3">
        <v>18</v>
      </c>
      <c r="I181" s="3">
        <f t="shared" ref="I181:I244" si="15">G181*H181</f>
        <v>8694</v>
      </c>
      <c r="J181" s="3">
        <f t="shared" si="11"/>
        <v>23.99</v>
      </c>
      <c r="K181" s="88">
        <v>313</v>
      </c>
      <c r="L181" s="3">
        <f t="shared" si="12"/>
        <v>7508.87</v>
      </c>
      <c r="M181" s="3">
        <f t="shared" si="13"/>
        <v>5634</v>
      </c>
      <c r="N181" s="3">
        <f t="shared" si="14"/>
        <v>1874.87</v>
      </c>
    </row>
    <row r="182" spans="4:14" x14ac:dyDescent="0.35">
      <c r="D182" s="1" t="s">
        <v>563</v>
      </c>
      <c r="E182" s="1" t="s">
        <v>885</v>
      </c>
      <c r="F182" t="s">
        <v>10</v>
      </c>
      <c r="G182" s="12">
        <v>198</v>
      </c>
      <c r="H182" s="3">
        <v>17</v>
      </c>
      <c r="I182" s="3">
        <f t="shared" si="15"/>
        <v>3366</v>
      </c>
      <c r="J182" s="3">
        <f t="shared" si="11"/>
        <v>22.99</v>
      </c>
      <c r="K182" s="88">
        <v>158</v>
      </c>
      <c r="L182" s="3">
        <f t="shared" si="12"/>
        <v>3632.4199999999996</v>
      </c>
      <c r="M182" s="3">
        <f t="shared" si="13"/>
        <v>2686</v>
      </c>
      <c r="N182" s="3">
        <f t="shared" si="14"/>
        <v>946.41999999999962</v>
      </c>
    </row>
    <row r="183" spans="4:14" x14ac:dyDescent="0.35">
      <c r="D183" s="1" t="s">
        <v>564</v>
      </c>
      <c r="E183" s="1" t="s">
        <v>901</v>
      </c>
      <c r="F183" t="s">
        <v>15</v>
      </c>
      <c r="G183" s="12">
        <v>229</v>
      </c>
      <c r="H183" s="3">
        <v>28</v>
      </c>
      <c r="I183" s="3">
        <f t="shared" si="15"/>
        <v>6412</v>
      </c>
      <c r="J183" s="3">
        <f t="shared" si="11"/>
        <v>37.99</v>
      </c>
      <c r="K183" s="88">
        <v>164</v>
      </c>
      <c r="L183" s="3">
        <f t="shared" si="12"/>
        <v>6230.3600000000006</v>
      </c>
      <c r="M183" s="3">
        <f t="shared" si="13"/>
        <v>4592</v>
      </c>
      <c r="N183" s="3">
        <f t="shared" si="14"/>
        <v>1638.3600000000006</v>
      </c>
    </row>
    <row r="184" spans="4:14" x14ac:dyDescent="0.35">
      <c r="D184" s="1" t="s">
        <v>565</v>
      </c>
      <c r="E184" s="1" t="s">
        <v>885</v>
      </c>
      <c r="F184" t="s">
        <v>17</v>
      </c>
      <c r="G184" s="12">
        <v>265</v>
      </c>
      <c r="H184" s="3">
        <v>105</v>
      </c>
      <c r="I184" s="3">
        <f t="shared" si="15"/>
        <v>27825</v>
      </c>
      <c r="J184" s="3">
        <f t="shared" si="11"/>
        <v>141.99</v>
      </c>
      <c r="K184" s="88">
        <v>255</v>
      </c>
      <c r="L184" s="3">
        <f t="shared" si="12"/>
        <v>36207.450000000004</v>
      </c>
      <c r="M184" s="3">
        <f t="shared" si="13"/>
        <v>26775</v>
      </c>
      <c r="N184" s="3">
        <f t="shared" si="14"/>
        <v>9432.4500000000044</v>
      </c>
    </row>
    <row r="185" spans="4:14" x14ac:dyDescent="0.35">
      <c r="D185" s="1" t="s">
        <v>566</v>
      </c>
      <c r="E185" s="1" t="s">
        <v>711</v>
      </c>
      <c r="F185" t="s">
        <v>14</v>
      </c>
      <c r="G185" s="12">
        <v>445</v>
      </c>
      <c r="H185" s="3">
        <v>35</v>
      </c>
      <c r="I185" s="3">
        <f t="shared" si="15"/>
        <v>15575</v>
      </c>
      <c r="J185" s="3">
        <f t="shared" si="11"/>
        <v>46.99</v>
      </c>
      <c r="K185" s="88">
        <v>111</v>
      </c>
      <c r="L185" s="3">
        <f t="shared" si="12"/>
        <v>5215.8900000000003</v>
      </c>
      <c r="M185" s="3">
        <f t="shared" si="13"/>
        <v>3885</v>
      </c>
      <c r="N185" s="3">
        <f t="shared" si="14"/>
        <v>1330.8900000000003</v>
      </c>
    </row>
    <row r="186" spans="4:14" x14ac:dyDescent="0.35">
      <c r="D186" s="1" t="s">
        <v>567</v>
      </c>
      <c r="E186" s="1" t="s">
        <v>894</v>
      </c>
      <c r="F186" t="s">
        <v>16</v>
      </c>
      <c r="G186" s="12">
        <v>242</v>
      </c>
      <c r="H186" s="3">
        <v>35</v>
      </c>
      <c r="I186" s="3">
        <f t="shared" si="15"/>
        <v>8470</v>
      </c>
      <c r="J186" s="3">
        <f t="shared" si="11"/>
        <v>46.99</v>
      </c>
      <c r="K186" s="88">
        <v>104</v>
      </c>
      <c r="L186" s="3">
        <f t="shared" si="12"/>
        <v>4886.96</v>
      </c>
      <c r="M186" s="3">
        <f t="shared" si="13"/>
        <v>3640</v>
      </c>
      <c r="N186" s="3">
        <f t="shared" si="14"/>
        <v>1246.96</v>
      </c>
    </row>
    <row r="187" spans="4:14" x14ac:dyDescent="0.35">
      <c r="D187" s="1" t="s">
        <v>568</v>
      </c>
      <c r="E187" s="1" t="s">
        <v>896</v>
      </c>
      <c r="F187" t="s">
        <v>10</v>
      </c>
      <c r="G187" s="12">
        <v>154</v>
      </c>
      <c r="H187" s="3">
        <v>108</v>
      </c>
      <c r="I187" s="3">
        <f t="shared" si="15"/>
        <v>16632</v>
      </c>
      <c r="J187" s="3">
        <f t="shared" si="11"/>
        <v>145.99</v>
      </c>
      <c r="K187" s="88">
        <v>111</v>
      </c>
      <c r="L187" s="3">
        <f t="shared" si="12"/>
        <v>16204.890000000001</v>
      </c>
      <c r="M187" s="3">
        <f t="shared" si="13"/>
        <v>11988</v>
      </c>
      <c r="N187" s="3">
        <f t="shared" si="14"/>
        <v>4216.8900000000012</v>
      </c>
    </row>
    <row r="188" spans="4:14" x14ac:dyDescent="0.35">
      <c r="D188" s="1" t="s">
        <v>569</v>
      </c>
      <c r="E188" s="1" t="s">
        <v>885</v>
      </c>
      <c r="F188" t="s">
        <v>9</v>
      </c>
      <c r="G188" s="12">
        <v>420</v>
      </c>
      <c r="H188" s="3">
        <v>100</v>
      </c>
      <c r="I188" s="3">
        <f t="shared" si="15"/>
        <v>42000</v>
      </c>
      <c r="J188" s="3">
        <f t="shared" si="11"/>
        <v>134.99</v>
      </c>
      <c r="K188" s="88">
        <v>307</v>
      </c>
      <c r="L188" s="3">
        <f t="shared" si="12"/>
        <v>41441.93</v>
      </c>
      <c r="M188" s="3">
        <f t="shared" si="13"/>
        <v>30700</v>
      </c>
      <c r="N188" s="3">
        <f t="shared" si="14"/>
        <v>10741.93</v>
      </c>
    </row>
    <row r="189" spans="4:14" x14ac:dyDescent="0.35">
      <c r="D189" s="1" t="s">
        <v>570</v>
      </c>
      <c r="E189" s="1" t="s">
        <v>894</v>
      </c>
      <c r="F189" t="s">
        <v>13</v>
      </c>
      <c r="G189" s="12">
        <v>473</v>
      </c>
      <c r="H189" s="3">
        <v>29</v>
      </c>
      <c r="I189" s="3">
        <f t="shared" si="15"/>
        <v>13717</v>
      </c>
      <c r="J189" s="3">
        <f t="shared" si="11"/>
        <v>38.99</v>
      </c>
      <c r="K189" s="88">
        <v>284</v>
      </c>
      <c r="L189" s="3">
        <f t="shared" si="12"/>
        <v>11073.16</v>
      </c>
      <c r="M189" s="3">
        <f t="shared" si="13"/>
        <v>8236</v>
      </c>
      <c r="N189" s="3">
        <f t="shared" si="14"/>
        <v>2837.16</v>
      </c>
    </row>
    <row r="190" spans="4:14" x14ac:dyDescent="0.35">
      <c r="D190" s="1" t="s">
        <v>519</v>
      </c>
      <c r="E190" s="1" t="s">
        <v>711</v>
      </c>
      <c r="F190" t="s">
        <v>14</v>
      </c>
      <c r="G190" s="12">
        <v>124</v>
      </c>
      <c r="H190" s="3">
        <v>106</v>
      </c>
      <c r="I190" s="3">
        <f t="shared" si="15"/>
        <v>13144</v>
      </c>
      <c r="J190" s="3">
        <f t="shared" si="11"/>
        <v>142.99</v>
      </c>
      <c r="K190" s="88">
        <v>119</v>
      </c>
      <c r="L190" s="3">
        <f t="shared" si="12"/>
        <v>17015.810000000001</v>
      </c>
      <c r="M190" s="3">
        <f t="shared" si="13"/>
        <v>12614</v>
      </c>
      <c r="N190" s="3">
        <f t="shared" si="14"/>
        <v>4401.8100000000013</v>
      </c>
    </row>
    <row r="191" spans="4:14" x14ac:dyDescent="0.35">
      <c r="D191" s="1" t="s">
        <v>571</v>
      </c>
      <c r="E191" s="1" t="s">
        <v>891</v>
      </c>
      <c r="F191" t="s">
        <v>15</v>
      </c>
      <c r="G191" s="12">
        <v>490</v>
      </c>
      <c r="H191" s="3">
        <v>13</v>
      </c>
      <c r="I191" s="3">
        <f t="shared" si="15"/>
        <v>6370</v>
      </c>
      <c r="J191" s="3">
        <f t="shared" si="11"/>
        <v>17.989999999999998</v>
      </c>
      <c r="K191" s="88">
        <v>400</v>
      </c>
      <c r="L191" s="3">
        <f t="shared" si="12"/>
        <v>7195.9999999999991</v>
      </c>
      <c r="M191" s="3">
        <f t="shared" si="13"/>
        <v>5200</v>
      </c>
      <c r="N191" s="3">
        <f t="shared" si="14"/>
        <v>1995.9999999999991</v>
      </c>
    </row>
    <row r="192" spans="4:14" x14ac:dyDescent="0.35">
      <c r="D192" s="1" t="s">
        <v>572</v>
      </c>
      <c r="E192" s="1" t="s">
        <v>889</v>
      </c>
      <c r="F192" t="s">
        <v>17</v>
      </c>
      <c r="G192" s="12">
        <v>105</v>
      </c>
      <c r="H192" s="3">
        <v>101</v>
      </c>
      <c r="I192" s="3">
        <f t="shared" si="15"/>
        <v>10605</v>
      </c>
      <c r="J192" s="3">
        <f t="shared" si="11"/>
        <v>135.99</v>
      </c>
      <c r="K192" s="88">
        <v>105</v>
      </c>
      <c r="L192" s="3">
        <f t="shared" si="12"/>
        <v>14278.95</v>
      </c>
      <c r="M192" s="3">
        <f t="shared" si="13"/>
        <v>10605</v>
      </c>
      <c r="N192" s="3">
        <f t="shared" si="14"/>
        <v>3673.9500000000007</v>
      </c>
    </row>
    <row r="193" spans="4:14" x14ac:dyDescent="0.35">
      <c r="D193" s="1" t="s">
        <v>573</v>
      </c>
      <c r="E193" s="1" t="s">
        <v>711</v>
      </c>
      <c r="F193" t="s">
        <v>12</v>
      </c>
      <c r="G193" s="12">
        <v>349</v>
      </c>
      <c r="H193" s="3">
        <v>62</v>
      </c>
      <c r="I193" s="3">
        <f t="shared" si="15"/>
        <v>21638</v>
      </c>
      <c r="J193" s="3">
        <f t="shared" si="11"/>
        <v>83.99</v>
      </c>
      <c r="K193" s="88">
        <v>335</v>
      </c>
      <c r="L193" s="3">
        <f t="shared" si="12"/>
        <v>28136.649999999998</v>
      </c>
      <c r="M193" s="3">
        <f t="shared" si="13"/>
        <v>20770</v>
      </c>
      <c r="N193" s="3">
        <f t="shared" si="14"/>
        <v>7366.6499999999978</v>
      </c>
    </row>
    <row r="194" spans="4:14" x14ac:dyDescent="0.35">
      <c r="D194" s="1" t="s">
        <v>445</v>
      </c>
      <c r="E194" s="1" t="s">
        <v>888</v>
      </c>
      <c r="F194" t="s">
        <v>10</v>
      </c>
      <c r="G194" s="12">
        <v>179</v>
      </c>
      <c r="H194" s="3">
        <v>48</v>
      </c>
      <c r="I194" s="3">
        <f t="shared" si="15"/>
        <v>8592</v>
      </c>
      <c r="J194" s="3">
        <f t="shared" si="11"/>
        <v>64.989999999999995</v>
      </c>
      <c r="K194" s="88">
        <v>109</v>
      </c>
      <c r="L194" s="3">
        <f t="shared" si="12"/>
        <v>7083.91</v>
      </c>
      <c r="M194" s="3">
        <f t="shared" si="13"/>
        <v>5232</v>
      </c>
      <c r="N194" s="3">
        <f t="shared" si="14"/>
        <v>1851.9099999999999</v>
      </c>
    </row>
    <row r="195" spans="4:14" x14ac:dyDescent="0.35">
      <c r="D195" s="1" t="s">
        <v>574</v>
      </c>
      <c r="E195" s="1" t="s">
        <v>711</v>
      </c>
      <c r="F195" t="s">
        <v>333</v>
      </c>
      <c r="G195" s="12">
        <v>320</v>
      </c>
      <c r="H195" s="3">
        <v>46</v>
      </c>
      <c r="I195" s="3">
        <f t="shared" si="15"/>
        <v>14720</v>
      </c>
      <c r="J195" s="3">
        <f t="shared" si="11"/>
        <v>61.99</v>
      </c>
      <c r="K195" s="88">
        <v>166</v>
      </c>
      <c r="L195" s="3">
        <f t="shared" si="12"/>
        <v>10290.34</v>
      </c>
      <c r="M195" s="3">
        <f t="shared" si="13"/>
        <v>7636</v>
      </c>
      <c r="N195" s="3">
        <f t="shared" si="14"/>
        <v>2654.34</v>
      </c>
    </row>
    <row r="196" spans="4:14" x14ac:dyDescent="0.35">
      <c r="D196" s="1" t="s">
        <v>496</v>
      </c>
      <c r="E196" s="1" t="s">
        <v>711</v>
      </c>
      <c r="F196" t="s">
        <v>16</v>
      </c>
      <c r="G196" s="12">
        <v>322</v>
      </c>
      <c r="H196" s="3">
        <v>59</v>
      </c>
      <c r="I196" s="3">
        <f t="shared" si="15"/>
        <v>18998</v>
      </c>
      <c r="J196" s="3">
        <f t="shared" si="11"/>
        <v>79.989999999999995</v>
      </c>
      <c r="K196" s="88">
        <v>136</v>
      </c>
      <c r="L196" s="3">
        <f t="shared" si="12"/>
        <v>10878.64</v>
      </c>
      <c r="M196" s="3">
        <f t="shared" si="13"/>
        <v>8024</v>
      </c>
      <c r="N196" s="3">
        <f t="shared" si="14"/>
        <v>2854.6399999999994</v>
      </c>
    </row>
    <row r="197" spans="4:14" x14ac:dyDescent="0.35">
      <c r="D197" s="1" t="s">
        <v>575</v>
      </c>
      <c r="E197" s="1" t="s">
        <v>711</v>
      </c>
      <c r="F197" t="s">
        <v>333</v>
      </c>
      <c r="G197" s="12">
        <v>249</v>
      </c>
      <c r="H197" s="3">
        <v>64</v>
      </c>
      <c r="I197" s="3">
        <f t="shared" si="15"/>
        <v>15936</v>
      </c>
      <c r="J197" s="3">
        <f t="shared" si="11"/>
        <v>85.99</v>
      </c>
      <c r="K197" s="88">
        <v>112</v>
      </c>
      <c r="L197" s="3">
        <f t="shared" si="12"/>
        <v>9630.8799999999992</v>
      </c>
      <c r="M197" s="3">
        <f t="shared" si="13"/>
        <v>7168</v>
      </c>
      <c r="N197" s="3">
        <f t="shared" si="14"/>
        <v>2462.8799999999992</v>
      </c>
    </row>
    <row r="198" spans="4:14" x14ac:dyDescent="0.35">
      <c r="D198" s="1" t="s">
        <v>576</v>
      </c>
      <c r="E198" s="1" t="s">
        <v>885</v>
      </c>
      <c r="F198" t="s">
        <v>333</v>
      </c>
      <c r="G198" s="12">
        <v>412</v>
      </c>
      <c r="H198" s="3">
        <v>10</v>
      </c>
      <c r="I198" s="3">
        <f t="shared" si="15"/>
        <v>4120</v>
      </c>
      <c r="J198" s="3">
        <f t="shared" ref="J198:J261" si="16">ROUND((H198*35%)+H198,0)-0.01</f>
        <v>13.99</v>
      </c>
      <c r="K198" s="88">
        <v>151</v>
      </c>
      <c r="L198" s="3">
        <f t="shared" ref="L198:L261" si="17">K198*J198</f>
        <v>2112.4900000000002</v>
      </c>
      <c r="M198" s="3">
        <f t="shared" ref="M198:M261" si="18">H198*K198</f>
        <v>1510</v>
      </c>
      <c r="N198" s="3">
        <f t="shared" ref="N198:N261" si="19">L198-M198</f>
        <v>602.49000000000024</v>
      </c>
    </row>
    <row r="199" spans="4:14" x14ac:dyDescent="0.35">
      <c r="D199" s="1" t="s">
        <v>577</v>
      </c>
      <c r="E199" s="1" t="s">
        <v>885</v>
      </c>
      <c r="F199" t="s">
        <v>12</v>
      </c>
      <c r="G199" s="12">
        <v>339</v>
      </c>
      <c r="H199" s="3">
        <v>99</v>
      </c>
      <c r="I199" s="3">
        <f t="shared" si="15"/>
        <v>33561</v>
      </c>
      <c r="J199" s="3">
        <f t="shared" si="16"/>
        <v>133.99</v>
      </c>
      <c r="K199" s="88">
        <v>286</v>
      </c>
      <c r="L199" s="3">
        <f t="shared" si="17"/>
        <v>38321.14</v>
      </c>
      <c r="M199" s="3">
        <f t="shared" si="18"/>
        <v>28314</v>
      </c>
      <c r="N199" s="3">
        <f t="shared" si="19"/>
        <v>10007.14</v>
      </c>
    </row>
    <row r="200" spans="4:14" x14ac:dyDescent="0.35">
      <c r="D200" s="1" t="s">
        <v>578</v>
      </c>
      <c r="E200" s="1" t="s">
        <v>711</v>
      </c>
      <c r="F200" t="s">
        <v>9</v>
      </c>
      <c r="G200" s="12">
        <v>481</v>
      </c>
      <c r="H200" s="3">
        <v>131</v>
      </c>
      <c r="I200" s="3">
        <f t="shared" si="15"/>
        <v>63011</v>
      </c>
      <c r="J200" s="3">
        <f t="shared" si="16"/>
        <v>176.99</v>
      </c>
      <c r="K200" s="88">
        <v>194</v>
      </c>
      <c r="L200" s="3">
        <f t="shared" si="17"/>
        <v>34336.060000000005</v>
      </c>
      <c r="M200" s="3">
        <f t="shared" si="18"/>
        <v>25414</v>
      </c>
      <c r="N200" s="3">
        <f t="shared" si="19"/>
        <v>8922.0600000000049</v>
      </c>
    </row>
    <row r="201" spans="4:14" x14ac:dyDescent="0.35">
      <c r="D201" s="1" t="s">
        <v>579</v>
      </c>
      <c r="E201" s="1" t="s">
        <v>885</v>
      </c>
      <c r="F201" t="s">
        <v>13</v>
      </c>
      <c r="G201" s="12">
        <v>225</v>
      </c>
      <c r="H201" s="3">
        <v>91</v>
      </c>
      <c r="I201" s="3">
        <f t="shared" si="15"/>
        <v>20475</v>
      </c>
      <c r="J201" s="3">
        <f t="shared" si="16"/>
        <v>122.99</v>
      </c>
      <c r="K201" s="88">
        <v>150</v>
      </c>
      <c r="L201" s="3">
        <f t="shared" si="17"/>
        <v>18448.5</v>
      </c>
      <c r="M201" s="3">
        <f t="shared" si="18"/>
        <v>13650</v>
      </c>
      <c r="N201" s="3">
        <f t="shared" si="19"/>
        <v>4798.5</v>
      </c>
    </row>
    <row r="202" spans="4:14" x14ac:dyDescent="0.35">
      <c r="D202" s="1" t="s">
        <v>580</v>
      </c>
      <c r="E202" s="1" t="s">
        <v>885</v>
      </c>
      <c r="F202" t="s">
        <v>13</v>
      </c>
      <c r="G202" s="12">
        <v>218</v>
      </c>
      <c r="H202" s="3">
        <v>26</v>
      </c>
      <c r="I202" s="3">
        <f t="shared" si="15"/>
        <v>5668</v>
      </c>
      <c r="J202" s="3">
        <f t="shared" si="16"/>
        <v>34.99</v>
      </c>
      <c r="K202" s="88">
        <v>124</v>
      </c>
      <c r="L202" s="3">
        <f t="shared" si="17"/>
        <v>4338.76</v>
      </c>
      <c r="M202" s="3">
        <f t="shared" si="18"/>
        <v>3224</v>
      </c>
      <c r="N202" s="3">
        <f t="shared" si="19"/>
        <v>1114.7600000000002</v>
      </c>
    </row>
    <row r="203" spans="4:14" x14ac:dyDescent="0.35">
      <c r="D203" s="1" t="s">
        <v>581</v>
      </c>
      <c r="E203" s="1" t="s">
        <v>885</v>
      </c>
      <c r="F203" t="s">
        <v>9</v>
      </c>
      <c r="G203" s="12">
        <v>422</v>
      </c>
      <c r="H203" s="3">
        <v>23</v>
      </c>
      <c r="I203" s="3">
        <f t="shared" si="15"/>
        <v>9706</v>
      </c>
      <c r="J203" s="3">
        <f t="shared" si="16"/>
        <v>30.99</v>
      </c>
      <c r="K203" s="88">
        <v>361</v>
      </c>
      <c r="L203" s="3">
        <f t="shared" si="17"/>
        <v>11187.39</v>
      </c>
      <c r="M203" s="3">
        <f t="shared" si="18"/>
        <v>8303</v>
      </c>
      <c r="N203" s="3">
        <f t="shared" si="19"/>
        <v>2884.3899999999994</v>
      </c>
    </row>
    <row r="204" spans="4:14" x14ac:dyDescent="0.35">
      <c r="D204" s="1" t="s">
        <v>582</v>
      </c>
      <c r="E204" s="1" t="s">
        <v>711</v>
      </c>
      <c r="F204" t="s">
        <v>10</v>
      </c>
      <c r="G204" s="12">
        <v>476</v>
      </c>
      <c r="H204" s="3">
        <v>97</v>
      </c>
      <c r="I204" s="3">
        <f t="shared" si="15"/>
        <v>46172</v>
      </c>
      <c r="J204" s="3">
        <f t="shared" si="16"/>
        <v>130.99</v>
      </c>
      <c r="K204" s="88">
        <v>364</v>
      </c>
      <c r="L204" s="3">
        <f t="shared" si="17"/>
        <v>47680.36</v>
      </c>
      <c r="M204" s="3">
        <f t="shared" si="18"/>
        <v>35308</v>
      </c>
      <c r="N204" s="3">
        <f t="shared" si="19"/>
        <v>12372.36</v>
      </c>
    </row>
    <row r="205" spans="4:14" x14ac:dyDescent="0.35">
      <c r="D205" s="1" t="s">
        <v>583</v>
      </c>
      <c r="E205" s="1" t="s">
        <v>896</v>
      </c>
      <c r="F205" t="s">
        <v>15</v>
      </c>
      <c r="G205" s="12">
        <v>189</v>
      </c>
      <c r="H205" s="3">
        <v>42</v>
      </c>
      <c r="I205" s="3">
        <f t="shared" si="15"/>
        <v>7938</v>
      </c>
      <c r="J205" s="3">
        <f t="shared" si="16"/>
        <v>56.99</v>
      </c>
      <c r="K205" s="88">
        <v>175</v>
      </c>
      <c r="L205" s="3">
        <f t="shared" si="17"/>
        <v>9973.25</v>
      </c>
      <c r="M205" s="3">
        <f t="shared" si="18"/>
        <v>7350</v>
      </c>
      <c r="N205" s="3">
        <f t="shared" si="19"/>
        <v>2623.25</v>
      </c>
    </row>
    <row r="206" spans="4:14" x14ac:dyDescent="0.35">
      <c r="D206" s="1" t="s">
        <v>584</v>
      </c>
      <c r="E206" s="1" t="s">
        <v>885</v>
      </c>
      <c r="F206" t="s">
        <v>16</v>
      </c>
      <c r="G206" s="12">
        <v>335</v>
      </c>
      <c r="H206" s="3">
        <v>40</v>
      </c>
      <c r="I206" s="3">
        <f t="shared" si="15"/>
        <v>13400</v>
      </c>
      <c r="J206" s="3">
        <f t="shared" si="16"/>
        <v>53.99</v>
      </c>
      <c r="K206" s="88">
        <v>307</v>
      </c>
      <c r="L206" s="3">
        <f t="shared" si="17"/>
        <v>16574.93</v>
      </c>
      <c r="M206" s="3">
        <f t="shared" si="18"/>
        <v>12280</v>
      </c>
      <c r="N206" s="3">
        <f t="shared" si="19"/>
        <v>4294.93</v>
      </c>
    </row>
    <row r="207" spans="4:14" x14ac:dyDescent="0.35">
      <c r="D207" s="1" t="s">
        <v>585</v>
      </c>
      <c r="E207" s="1" t="s">
        <v>894</v>
      </c>
      <c r="F207" t="s">
        <v>9</v>
      </c>
      <c r="G207" s="12">
        <v>215</v>
      </c>
      <c r="H207" s="3">
        <v>73</v>
      </c>
      <c r="I207" s="3">
        <f t="shared" si="15"/>
        <v>15695</v>
      </c>
      <c r="J207" s="3">
        <f t="shared" si="16"/>
        <v>98.99</v>
      </c>
      <c r="K207" s="88">
        <v>194</v>
      </c>
      <c r="L207" s="3">
        <f t="shared" si="17"/>
        <v>19204.059999999998</v>
      </c>
      <c r="M207" s="3">
        <f t="shared" si="18"/>
        <v>14162</v>
      </c>
      <c r="N207" s="3">
        <f t="shared" si="19"/>
        <v>5042.0599999999977</v>
      </c>
    </row>
    <row r="208" spans="4:14" x14ac:dyDescent="0.35">
      <c r="D208" s="1" t="s">
        <v>586</v>
      </c>
      <c r="E208" s="1" t="s">
        <v>885</v>
      </c>
      <c r="F208" t="s">
        <v>16</v>
      </c>
      <c r="G208" s="12">
        <v>455</v>
      </c>
      <c r="H208" s="3">
        <v>98</v>
      </c>
      <c r="I208" s="3">
        <f t="shared" si="15"/>
        <v>44590</v>
      </c>
      <c r="J208" s="3">
        <f t="shared" si="16"/>
        <v>131.99</v>
      </c>
      <c r="K208" s="88">
        <v>133</v>
      </c>
      <c r="L208" s="3">
        <f t="shared" si="17"/>
        <v>17554.670000000002</v>
      </c>
      <c r="M208" s="3">
        <f t="shared" si="18"/>
        <v>13034</v>
      </c>
      <c r="N208" s="3">
        <f t="shared" si="19"/>
        <v>4520.6700000000019</v>
      </c>
    </row>
    <row r="209" spans="4:14" x14ac:dyDescent="0.35">
      <c r="D209" s="1" t="s">
        <v>587</v>
      </c>
      <c r="E209" s="1" t="s">
        <v>902</v>
      </c>
      <c r="F209" t="s">
        <v>13</v>
      </c>
      <c r="G209" s="12">
        <v>272</v>
      </c>
      <c r="H209" s="3">
        <v>48</v>
      </c>
      <c r="I209" s="3">
        <f t="shared" si="15"/>
        <v>13056</v>
      </c>
      <c r="J209" s="3">
        <f t="shared" si="16"/>
        <v>64.989999999999995</v>
      </c>
      <c r="K209" s="88">
        <v>123</v>
      </c>
      <c r="L209" s="3">
        <f t="shared" si="17"/>
        <v>7993.7699999999995</v>
      </c>
      <c r="M209" s="3">
        <f t="shared" si="18"/>
        <v>5904</v>
      </c>
      <c r="N209" s="3">
        <f t="shared" si="19"/>
        <v>2089.7699999999995</v>
      </c>
    </row>
    <row r="210" spans="4:14" x14ac:dyDescent="0.35">
      <c r="D210" s="1" t="s">
        <v>588</v>
      </c>
      <c r="E210" s="1" t="s">
        <v>711</v>
      </c>
      <c r="F210" t="s">
        <v>333</v>
      </c>
      <c r="G210" s="12">
        <v>417</v>
      </c>
      <c r="H210" s="3">
        <v>129</v>
      </c>
      <c r="I210" s="3">
        <f t="shared" si="15"/>
        <v>53793</v>
      </c>
      <c r="J210" s="3">
        <f t="shared" si="16"/>
        <v>173.99</v>
      </c>
      <c r="K210" s="88">
        <v>226</v>
      </c>
      <c r="L210" s="3">
        <f t="shared" si="17"/>
        <v>39321.740000000005</v>
      </c>
      <c r="M210" s="3">
        <f t="shared" si="18"/>
        <v>29154</v>
      </c>
      <c r="N210" s="3">
        <f t="shared" si="19"/>
        <v>10167.740000000005</v>
      </c>
    </row>
    <row r="211" spans="4:14" x14ac:dyDescent="0.35">
      <c r="D211" s="1" t="s">
        <v>426</v>
      </c>
      <c r="E211" s="1" t="s">
        <v>711</v>
      </c>
      <c r="F211" t="s">
        <v>14</v>
      </c>
      <c r="G211" s="12">
        <v>369</v>
      </c>
      <c r="H211" s="3">
        <v>104</v>
      </c>
      <c r="I211" s="3">
        <f t="shared" si="15"/>
        <v>38376</v>
      </c>
      <c r="J211" s="3">
        <f t="shared" si="16"/>
        <v>139.99</v>
      </c>
      <c r="K211" s="88">
        <v>291</v>
      </c>
      <c r="L211" s="3">
        <f t="shared" si="17"/>
        <v>40737.090000000004</v>
      </c>
      <c r="M211" s="3">
        <f t="shared" si="18"/>
        <v>30264</v>
      </c>
      <c r="N211" s="3">
        <f t="shared" si="19"/>
        <v>10473.090000000004</v>
      </c>
    </row>
    <row r="212" spans="4:14" x14ac:dyDescent="0.35">
      <c r="D212" s="1" t="s">
        <v>589</v>
      </c>
      <c r="E212" s="1" t="s">
        <v>891</v>
      </c>
      <c r="F212" t="s">
        <v>16</v>
      </c>
      <c r="G212" s="12">
        <v>497</v>
      </c>
      <c r="H212" s="3">
        <v>118</v>
      </c>
      <c r="I212" s="3">
        <f t="shared" si="15"/>
        <v>58646</v>
      </c>
      <c r="J212" s="3">
        <f t="shared" si="16"/>
        <v>158.99</v>
      </c>
      <c r="K212" s="88">
        <v>196</v>
      </c>
      <c r="L212" s="3">
        <f t="shared" si="17"/>
        <v>31162.04</v>
      </c>
      <c r="M212" s="3">
        <f t="shared" si="18"/>
        <v>23128</v>
      </c>
      <c r="N212" s="3">
        <f t="shared" si="19"/>
        <v>8034.0400000000009</v>
      </c>
    </row>
    <row r="213" spans="4:14" x14ac:dyDescent="0.35">
      <c r="D213" s="1" t="s">
        <v>590</v>
      </c>
      <c r="E213" s="1" t="s">
        <v>885</v>
      </c>
      <c r="F213" t="s">
        <v>17</v>
      </c>
      <c r="G213" s="12">
        <v>422</v>
      </c>
      <c r="H213" s="3">
        <v>29</v>
      </c>
      <c r="I213" s="3">
        <f t="shared" si="15"/>
        <v>12238</v>
      </c>
      <c r="J213" s="3">
        <f t="shared" si="16"/>
        <v>38.99</v>
      </c>
      <c r="K213" s="88">
        <v>105</v>
      </c>
      <c r="L213" s="3">
        <f t="shared" si="17"/>
        <v>4093.9500000000003</v>
      </c>
      <c r="M213" s="3">
        <f t="shared" si="18"/>
        <v>3045</v>
      </c>
      <c r="N213" s="3">
        <f t="shared" si="19"/>
        <v>1048.9500000000003</v>
      </c>
    </row>
    <row r="214" spans="4:14" x14ac:dyDescent="0.35">
      <c r="D214" s="1" t="s">
        <v>591</v>
      </c>
      <c r="E214" s="1" t="s">
        <v>711</v>
      </c>
      <c r="F214" t="s">
        <v>15</v>
      </c>
      <c r="G214" s="12">
        <v>484</v>
      </c>
      <c r="H214" s="3">
        <v>54</v>
      </c>
      <c r="I214" s="3">
        <f t="shared" si="15"/>
        <v>26136</v>
      </c>
      <c r="J214" s="3">
        <f t="shared" si="16"/>
        <v>72.989999999999995</v>
      </c>
      <c r="K214" s="88">
        <v>285</v>
      </c>
      <c r="L214" s="3">
        <f t="shared" si="17"/>
        <v>20802.149999999998</v>
      </c>
      <c r="M214" s="3">
        <f t="shared" si="18"/>
        <v>15390</v>
      </c>
      <c r="N214" s="3">
        <f t="shared" si="19"/>
        <v>5412.1499999999978</v>
      </c>
    </row>
    <row r="215" spans="4:14" x14ac:dyDescent="0.35">
      <c r="D215" s="1" t="s">
        <v>592</v>
      </c>
      <c r="E215" s="1" t="s">
        <v>711</v>
      </c>
      <c r="F215" t="s">
        <v>16</v>
      </c>
      <c r="G215" s="12">
        <v>282</v>
      </c>
      <c r="H215" s="3">
        <v>145</v>
      </c>
      <c r="I215" s="3">
        <f t="shared" si="15"/>
        <v>40890</v>
      </c>
      <c r="J215" s="3">
        <f t="shared" si="16"/>
        <v>195.99</v>
      </c>
      <c r="K215" s="88">
        <v>214</v>
      </c>
      <c r="L215" s="3">
        <f t="shared" si="17"/>
        <v>41941.86</v>
      </c>
      <c r="M215" s="3">
        <f t="shared" si="18"/>
        <v>31030</v>
      </c>
      <c r="N215" s="3">
        <f t="shared" si="19"/>
        <v>10911.86</v>
      </c>
    </row>
    <row r="216" spans="4:14" x14ac:dyDescent="0.35">
      <c r="D216" s="1" t="s">
        <v>593</v>
      </c>
      <c r="E216" s="1" t="s">
        <v>711</v>
      </c>
      <c r="F216" t="s">
        <v>11</v>
      </c>
      <c r="G216" s="12">
        <v>366</v>
      </c>
      <c r="H216" s="3">
        <v>118</v>
      </c>
      <c r="I216" s="3">
        <f t="shared" si="15"/>
        <v>43188</v>
      </c>
      <c r="J216" s="3">
        <f t="shared" si="16"/>
        <v>158.99</v>
      </c>
      <c r="K216" s="88">
        <v>282</v>
      </c>
      <c r="L216" s="3">
        <f t="shared" si="17"/>
        <v>44835.18</v>
      </c>
      <c r="M216" s="3">
        <f t="shared" si="18"/>
        <v>33276</v>
      </c>
      <c r="N216" s="3">
        <f t="shared" si="19"/>
        <v>11559.18</v>
      </c>
    </row>
    <row r="217" spans="4:14" x14ac:dyDescent="0.35">
      <c r="D217" s="1" t="s">
        <v>496</v>
      </c>
      <c r="E217" s="1" t="s">
        <v>711</v>
      </c>
      <c r="F217" t="s">
        <v>9</v>
      </c>
      <c r="G217" s="12">
        <v>320</v>
      </c>
      <c r="H217" s="3">
        <v>12</v>
      </c>
      <c r="I217" s="3">
        <f t="shared" si="15"/>
        <v>3840</v>
      </c>
      <c r="J217" s="3">
        <f t="shared" si="16"/>
        <v>15.99</v>
      </c>
      <c r="K217" s="88">
        <v>270</v>
      </c>
      <c r="L217" s="3">
        <f t="shared" si="17"/>
        <v>4317.3</v>
      </c>
      <c r="M217" s="3">
        <f t="shared" si="18"/>
        <v>3240</v>
      </c>
      <c r="N217" s="3">
        <f t="shared" si="19"/>
        <v>1077.3000000000002</v>
      </c>
    </row>
    <row r="218" spans="4:14" x14ac:dyDescent="0.35">
      <c r="D218" s="1" t="s">
        <v>4</v>
      </c>
      <c r="E218" s="1" t="s">
        <v>903</v>
      </c>
      <c r="F218" t="s">
        <v>333</v>
      </c>
      <c r="G218" s="12">
        <v>413</v>
      </c>
      <c r="H218" s="3">
        <v>129</v>
      </c>
      <c r="I218" s="3">
        <f t="shared" si="15"/>
        <v>53277</v>
      </c>
      <c r="J218" s="3">
        <f t="shared" si="16"/>
        <v>173.99</v>
      </c>
      <c r="K218" s="88">
        <v>219</v>
      </c>
      <c r="L218" s="3">
        <f t="shared" si="17"/>
        <v>38103.810000000005</v>
      </c>
      <c r="M218" s="3">
        <f t="shared" si="18"/>
        <v>28251</v>
      </c>
      <c r="N218" s="3">
        <f t="shared" si="19"/>
        <v>9852.8100000000049</v>
      </c>
    </row>
    <row r="219" spans="4:14" x14ac:dyDescent="0.35">
      <c r="D219" s="1" t="s">
        <v>594</v>
      </c>
      <c r="E219" s="1" t="s">
        <v>711</v>
      </c>
      <c r="F219" t="s">
        <v>15</v>
      </c>
      <c r="G219" s="12">
        <v>369</v>
      </c>
      <c r="H219" s="3">
        <v>137</v>
      </c>
      <c r="I219" s="3">
        <f t="shared" si="15"/>
        <v>50553</v>
      </c>
      <c r="J219" s="3">
        <f t="shared" si="16"/>
        <v>184.99</v>
      </c>
      <c r="K219" s="88">
        <v>309</v>
      </c>
      <c r="L219" s="3">
        <f t="shared" si="17"/>
        <v>57161.91</v>
      </c>
      <c r="M219" s="3">
        <f t="shared" si="18"/>
        <v>42333</v>
      </c>
      <c r="N219" s="3">
        <f t="shared" si="19"/>
        <v>14828.910000000003</v>
      </c>
    </row>
    <row r="220" spans="4:14" x14ac:dyDescent="0.35">
      <c r="D220" s="1" t="s">
        <v>595</v>
      </c>
      <c r="E220" s="1" t="s">
        <v>887</v>
      </c>
      <c r="F220" t="s">
        <v>9</v>
      </c>
      <c r="G220" s="12">
        <v>254</v>
      </c>
      <c r="H220" s="3">
        <v>23</v>
      </c>
      <c r="I220" s="3">
        <f t="shared" si="15"/>
        <v>5842</v>
      </c>
      <c r="J220" s="3">
        <f t="shared" si="16"/>
        <v>30.99</v>
      </c>
      <c r="K220" s="88">
        <v>244</v>
      </c>
      <c r="L220" s="3">
        <f t="shared" si="17"/>
        <v>7561.5599999999995</v>
      </c>
      <c r="M220" s="3">
        <f t="shared" si="18"/>
        <v>5612</v>
      </c>
      <c r="N220" s="3">
        <f t="shared" si="19"/>
        <v>1949.5599999999995</v>
      </c>
    </row>
    <row r="221" spans="4:14" x14ac:dyDescent="0.35">
      <c r="D221" s="1" t="s">
        <v>464</v>
      </c>
      <c r="E221" s="1" t="s">
        <v>887</v>
      </c>
      <c r="F221" t="s">
        <v>16</v>
      </c>
      <c r="G221" s="12">
        <v>429</v>
      </c>
      <c r="H221" s="3">
        <v>74</v>
      </c>
      <c r="I221" s="3">
        <f t="shared" si="15"/>
        <v>31746</v>
      </c>
      <c r="J221" s="3">
        <f t="shared" si="16"/>
        <v>99.99</v>
      </c>
      <c r="K221" s="88">
        <v>314</v>
      </c>
      <c r="L221" s="3">
        <f t="shared" si="17"/>
        <v>31396.859999999997</v>
      </c>
      <c r="M221" s="3">
        <f t="shared" si="18"/>
        <v>23236</v>
      </c>
      <c r="N221" s="3">
        <f t="shared" si="19"/>
        <v>8160.8599999999969</v>
      </c>
    </row>
    <row r="222" spans="4:14" x14ac:dyDescent="0.35">
      <c r="D222" s="1" t="s">
        <v>596</v>
      </c>
      <c r="E222" s="1" t="s">
        <v>904</v>
      </c>
      <c r="F222" t="s">
        <v>14</v>
      </c>
      <c r="G222" s="12">
        <v>437</v>
      </c>
      <c r="H222" s="3">
        <v>77</v>
      </c>
      <c r="I222" s="3">
        <f t="shared" si="15"/>
        <v>33649</v>
      </c>
      <c r="J222" s="3">
        <f t="shared" si="16"/>
        <v>103.99</v>
      </c>
      <c r="K222" s="88">
        <v>180</v>
      </c>
      <c r="L222" s="3">
        <f t="shared" si="17"/>
        <v>18718.2</v>
      </c>
      <c r="M222" s="3">
        <f t="shared" si="18"/>
        <v>13860</v>
      </c>
      <c r="N222" s="3">
        <f t="shared" si="19"/>
        <v>4858.2000000000007</v>
      </c>
    </row>
    <row r="223" spans="4:14" x14ac:dyDescent="0.35">
      <c r="D223" s="1" t="s">
        <v>597</v>
      </c>
      <c r="E223" s="1" t="s">
        <v>885</v>
      </c>
      <c r="F223" t="s">
        <v>16</v>
      </c>
      <c r="G223" s="12">
        <v>257</v>
      </c>
      <c r="H223" s="3">
        <v>75</v>
      </c>
      <c r="I223" s="3">
        <f t="shared" si="15"/>
        <v>19275</v>
      </c>
      <c r="J223" s="3">
        <f t="shared" si="16"/>
        <v>100.99</v>
      </c>
      <c r="K223" s="88">
        <v>185</v>
      </c>
      <c r="L223" s="3">
        <f t="shared" si="17"/>
        <v>18683.149999999998</v>
      </c>
      <c r="M223" s="3">
        <f t="shared" si="18"/>
        <v>13875</v>
      </c>
      <c r="N223" s="3">
        <f t="shared" si="19"/>
        <v>4808.1499999999978</v>
      </c>
    </row>
    <row r="224" spans="4:14" x14ac:dyDescent="0.35">
      <c r="D224" s="1" t="s">
        <v>598</v>
      </c>
      <c r="E224" s="1" t="s">
        <v>885</v>
      </c>
      <c r="F224" t="s">
        <v>16</v>
      </c>
      <c r="G224" s="12">
        <v>345</v>
      </c>
      <c r="H224" s="3">
        <v>54</v>
      </c>
      <c r="I224" s="3">
        <f t="shared" si="15"/>
        <v>18630</v>
      </c>
      <c r="J224" s="3">
        <f t="shared" si="16"/>
        <v>72.989999999999995</v>
      </c>
      <c r="K224" s="88">
        <v>195</v>
      </c>
      <c r="L224" s="3">
        <f t="shared" si="17"/>
        <v>14233.05</v>
      </c>
      <c r="M224" s="3">
        <f t="shared" si="18"/>
        <v>10530</v>
      </c>
      <c r="N224" s="3">
        <f t="shared" si="19"/>
        <v>3703.0499999999993</v>
      </c>
    </row>
    <row r="225" spans="4:14" x14ac:dyDescent="0.35">
      <c r="D225" s="1" t="s">
        <v>523</v>
      </c>
      <c r="E225" s="1" t="s">
        <v>885</v>
      </c>
      <c r="F225" t="s">
        <v>11</v>
      </c>
      <c r="G225" s="12">
        <v>140</v>
      </c>
      <c r="H225" s="3">
        <v>111</v>
      </c>
      <c r="I225" s="3">
        <f t="shared" si="15"/>
        <v>15540</v>
      </c>
      <c r="J225" s="3">
        <f t="shared" si="16"/>
        <v>149.99</v>
      </c>
      <c r="K225" s="88">
        <v>139</v>
      </c>
      <c r="L225" s="3">
        <f t="shared" si="17"/>
        <v>20848.61</v>
      </c>
      <c r="M225" s="3">
        <f t="shared" si="18"/>
        <v>15429</v>
      </c>
      <c r="N225" s="3">
        <f t="shared" si="19"/>
        <v>5419.6100000000006</v>
      </c>
    </row>
    <row r="226" spans="4:14" x14ac:dyDescent="0.35">
      <c r="D226" s="1" t="s">
        <v>599</v>
      </c>
      <c r="E226" s="1" t="s">
        <v>885</v>
      </c>
      <c r="F226" t="s">
        <v>333</v>
      </c>
      <c r="G226" s="12">
        <v>200</v>
      </c>
      <c r="H226" s="3">
        <v>10</v>
      </c>
      <c r="I226" s="3">
        <f t="shared" si="15"/>
        <v>2000</v>
      </c>
      <c r="J226" s="3">
        <f t="shared" si="16"/>
        <v>13.99</v>
      </c>
      <c r="K226" s="88">
        <v>102</v>
      </c>
      <c r="L226" s="3">
        <f t="shared" si="17"/>
        <v>1426.98</v>
      </c>
      <c r="M226" s="3">
        <f t="shared" si="18"/>
        <v>1020</v>
      </c>
      <c r="N226" s="3">
        <f t="shared" si="19"/>
        <v>406.98</v>
      </c>
    </row>
    <row r="227" spans="4:14" x14ac:dyDescent="0.35">
      <c r="D227" s="1" t="s">
        <v>600</v>
      </c>
      <c r="E227" s="1" t="s">
        <v>711</v>
      </c>
      <c r="F227" t="s">
        <v>16</v>
      </c>
      <c r="G227" s="12">
        <v>180</v>
      </c>
      <c r="H227" s="3">
        <v>107</v>
      </c>
      <c r="I227" s="3">
        <f t="shared" si="15"/>
        <v>19260</v>
      </c>
      <c r="J227" s="3">
        <f t="shared" si="16"/>
        <v>143.99</v>
      </c>
      <c r="K227" s="88">
        <v>151</v>
      </c>
      <c r="L227" s="3">
        <f t="shared" si="17"/>
        <v>21742.49</v>
      </c>
      <c r="M227" s="3">
        <f t="shared" si="18"/>
        <v>16157</v>
      </c>
      <c r="N227" s="3">
        <f t="shared" si="19"/>
        <v>5585.4900000000016</v>
      </c>
    </row>
    <row r="228" spans="4:14" x14ac:dyDescent="0.35">
      <c r="D228" s="1" t="s">
        <v>601</v>
      </c>
      <c r="E228" s="1" t="s">
        <v>905</v>
      </c>
      <c r="F228" t="s">
        <v>9</v>
      </c>
      <c r="G228" s="12">
        <v>327</v>
      </c>
      <c r="H228" s="3">
        <v>82</v>
      </c>
      <c r="I228" s="3">
        <f t="shared" si="15"/>
        <v>26814</v>
      </c>
      <c r="J228" s="3">
        <f t="shared" si="16"/>
        <v>110.99</v>
      </c>
      <c r="K228" s="88">
        <v>257</v>
      </c>
      <c r="L228" s="3">
        <f t="shared" si="17"/>
        <v>28524.43</v>
      </c>
      <c r="M228" s="3">
        <f t="shared" si="18"/>
        <v>21074</v>
      </c>
      <c r="N228" s="3">
        <f t="shared" si="19"/>
        <v>7450.43</v>
      </c>
    </row>
    <row r="229" spans="4:14" x14ac:dyDescent="0.35">
      <c r="D229" s="1" t="s">
        <v>602</v>
      </c>
      <c r="E229" s="1" t="s">
        <v>885</v>
      </c>
      <c r="F229" t="s">
        <v>12</v>
      </c>
      <c r="G229" s="12">
        <v>425</v>
      </c>
      <c r="H229" s="3">
        <v>114</v>
      </c>
      <c r="I229" s="3">
        <f t="shared" si="15"/>
        <v>48450</v>
      </c>
      <c r="J229" s="3">
        <f t="shared" si="16"/>
        <v>153.99</v>
      </c>
      <c r="K229" s="88">
        <v>179</v>
      </c>
      <c r="L229" s="3">
        <f t="shared" si="17"/>
        <v>27564.210000000003</v>
      </c>
      <c r="M229" s="3">
        <f t="shared" si="18"/>
        <v>20406</v>
      </c>
      <c r="N229" s="3">
        <f t="shared" si="19"/>
        <v>7158.2100000000028</v>
      </c>
    </row>
    <row r="230" spans="4:14" x14ac:dyDescent="0.35">
      <c r="D230" s="1" t="s">
        <v>603</v>
      </c>
      <c r="E230" s="1" t="s">
        <v>891</v>
      </c>
      <c r="F230" t="s">
        <v>15</v>
      </c>
      <c r="G230" s="12">
        <v>487</v>
      </c>
      <c r="H230" s="3">
        <v>75</v>
      </c>
      <c r="I230" s="3">
        <f t="shared" si="15"/>
        <v>36525</v>
      </c>
      <c r="J230" s="3">
        <f t="shared" si="16"/>
        <v>100.99</v>
      </c>
      <c r="K230" s="88">
        <v>289</v>
      </c>
      <c r="L230" s="3">
        <f t="shared" si="17"/>
        <v>29186.109999999997</v>
      </c>
      <c r="M230" s="3">
        <f t="shared" si="18"/>
        <v>21675</v>
      </c>
      <c r="N230" s="3">
        <f t="shared" si="19"/>
        <v>7511.1099999999969</v>
      </c>
    </row>
    <row r="231" spans="4:14" x14ac:dyDescent="0.35">
      <c r="D231" s="1" t="s">
        <v>604</v>
      </c>
      <c r="E231" s="1" t="s">
        <v>711</v>
      </c>
      <c r="F231" t="s">
        <v>17</v>
      </c>
      <c r="G231" s="12">
        <v>200</v>
      </c>
      <c r="H231" s="3">
        <v>2</v>
      </c>
      <c r="I231" s="3">
        <f t="shared" si="15"/>
        <v>400</v>
      </c>
      <c r="J231" s="3">
        <f t="shared" si="16"/>
        <v>2.99</v>
      </c>
      <c r="K231" s="88">
        <v>127</v>
      </c>
      <c r="L231" s="3">
        <f t="shared" si="17"/>
        <v>379.73</v>
      </c>
      <c r="M231" s="3">
        <f t="shared" si="18"/>
        <v>254</v>
      </c>
      <c r="N231" s="3">
        <f t="shared" si="19"/>
        <v>125.73000000000002</v>
      </c>
    </row>
    <row r="232" spans="4:14" x14ac:dyDescent="0.35">
      <c r="D232" s="1" t="s">
        <v>605</v>
      </c>
      <c r="E232" s="1" t="s">
        <v>711</v>
      </c>
      <c r="F232" t="s">
        <v>12</v>
      </c>
      <c r="G232" s="12">
        <v>182</v>
      </c>
      <c r="H232" s="3">
        <v>38</v>
      </c>
      <c r="I232" s="3">
        <f t="shared" si="15"/>
        <v>6916</v>
      </c>
      <c r="J232" s="3">
        <f t="shared" si="16"/>
        <v>50.99</v>
      </c>
      <c r="K232" s="88">
        <v>178</v>
      </c>
      <c r="L232" s="3">
        <f t="shared" si="17"/>
        <v>9076.2200000000012</v>
      </c>
      <c r="M232" s="3">
        <f t="shared" si="18"/>
        <v>6764</v>
      </c>
      <c r="N232" s="3">
        <f t="shared" si="19"/>
        <v>2312.2200000000012</v>
      </c>
    </row>
    <row r="233" spans="4:14" x14ac:dyDescent="0.35">
      <c r="D233" s="1" t="s">
        <v>606</v>
      </c>
      <c r="E233" s="1" t="s">
        <v>712</v>
      </c>
      <c r="F233" t="s">
        <v>10</v>
      </c>
      <c r="G233" s="12">
        <v>478</v>
      </c>
      <c r="H233" s="3">
        <v>96</v>
      </c>
      <c r="I233" s="3">
        <f t="shared" si="15"/>
        <v>45888</v>
      </c>
      <c r="J233" s="3">
        <f t="shared" si="16"/>
        <v>129.99</v>
      </c>
      <c r="K233" s="88">
        <v>407</v>
      </c>
      <c r="L233" s="3">
        <f t="shared" si="17"/>
        <v>52905.93</v>
      </c>
      <c r="M233" s="3">
        <f t="shared" si="18"/>
        <v>39072</v>
      </c>
      <c r="N233" s="3">
        <f t="shared" si="19"/>
        <v>13833.93</v>
      </c>
    </row>
    <row r="234" spans="4:14" x14ac:dyDescent="0.35">
      <c r="D234" s="1" t="s">
        <v>607</v>
      </c>
      <c r="E234" s="1" t="s">
        <v>885</v>
      </c>
      <c r="F234" t="s">
        <v>13</v>
      </c>
      <c r="G234" s="12">
        <v>274</v>
      </c>
      <c r="H234" s="3">
        <v>111</v>
      </c>
      <c r="I234" s="3">
        <f t="shared" si="15"/>
        <v>30414</v>
      </c>
      <c r="J234" s="3">
        <f t="shared" si="16"/>
        <v>149.99</v>
      </c>
      <c r="K234" s="88">
        <v>135</v>
      </c>
      <c r="L234" s="3">
        <f t="shared" si="17"/>
        <v>20248.650000000001</v>
      </c>
      <c r="M234" s="3">
        <f t="shared" si="18"/>
        <v>14985</v>
      </c>
      <c r="N234" s="3">
        <f t="shared" si="19"/>
        <v>5263.6500000000015</v>
      </c>
    </row>
    <row r="235" spans="4:14" x14ac:dyDescent="0.35">
      <c r="D235" s="1" t="s">
        <v>608</v>
      </c>
      <c r="E235" s="1" t="s">
        <v>885</v>
      </c>
      <c r="F235" t="s">
        <v>333</v>
      </c>
      <c r="G235" s="12">
        <v>221</v>
      </c>
      <c r="H235" s="3">
        <v>147</v>
      </c>
      <c r="I235" s="3">
        <f t="shared" si="15"/>
        <v>32487</v>
      </c>
      <c r="J235" s="3">
        <f t="shared" si="16"/>
        <v>197.99</v>
      </c>
      <c r="K235" s="88">
        <v>146</v>
      </c>
      <c r="L235" s="3">
        <f t="shared" si="17"/>
        <v>28906.54</v>
      </c>
      <c r="M235" s="3">
        <f t="shared" si="18"/>
        <v>21462</v>
      </c>
      <c r="N235" s="3">
        <f t="shared" si="19"/>
        <v>7444.5400000000009</v>
      </c>
    </row>
    <row r="236" spans="4:14" x14ac:dyDescent="0.35">
      <c r="D236" s="1" t="s">
        <v>609</v>
      </c>
      <c r="E236" s="1" t="s">
        <v>889</v>
      </c>
      <c r="F236" t="s">
        <v>13</v>
      </c>
      <c r="G236" s="12">
        <v>346</v>
      </c>
      <c r="H236" s="3">
        <v>10</v>
      </c>
      <c r="I236" s="3">
        <f t="shared" si="15"/>
        <v>3460</v>
      </c>
      <c r="J236" s="3">
        <f t="shared" si="16"/>
        <v>13.99</v>
      </c>
      <c r="K236" s="88">
        <v>258</v>
      </c>
      <c r="L236" s="3">
        <f t="shared" si="17"/>
        <v>3609.42</v>
      </c>
      <c r="M236" s="3">
        <f t="shared" si="18"/>
        <v>2580</v>
      </c>
      <c r="N236" s="3">
        <f t="shared" si="19"/>
        <v>1029.42</v>
      </c>
    </row>
    <row r="237" spans="4:14" x14ac:dyDescent="0.35">
      <c r="D237" s="1" t="s">
        <v>610</v>
      </c>
      <c r="E237" s="1" t="s">
        <v>891</v>
      </c>
      <c r="F237" t="s">
        <v>17</v>
      </c>
      <c r="G237" s="12">
        <v>374</v>
      </c>
      <c r="H237" s="3">
        <v>5</v>
      </c>
      <c r="I237" s="3">
        <f t="shared" si="15"/>
        <v>1870</v>
      </c>
      <c r="J237" s="3">
        <f t="shared" si="16"/>
        <v>6.99</v>
      </c>
      <c r="K237" s="88">
        <v>366</v>
      </c>
      <c r="L237" s="3">
        <f t="shared" si="17"/>
        <v>2558.34</v>
      </c>
      <c r="M237" s="3">
        <f t="shared" si="18"/>
        <v>1830</v>
      </c>
      <c r="N237" s="3">
        <f t="shared" si="19"/>
        <v>728.34000000000015</v>
      </c>
    </row>
    <row r="238" spans="4:14" x14ac:dyDescent="0.35">
      <c r="D238" s="1" t="s">
        <v>562</v>
      </c>
      <c r="E238" s="1" t="s">
        <v>711</v>
      </c>
      <c r="F238" t="s">
        <v>12</v>
      </c>
      <c r="G238" s="12">
        <v>487</v>
      </c>
      <c r="H238" s="3">
        <v>56</v>
      </c>
      <c r="I238" s="3">
        <f t="shared" si="15"/>
        <v>27272</v>
      </c>
      <c r="J238" s="3">
        <f t="shared" si="16"/>
        <v>75.989999999999995</v>
      </c>
      <c r="K238" s="88">
        <v>389</v>
      </c>
      <c r="L238" s="3">
        <f t="shared" si="17"/>
        <v>29560.109999999997</v>
      </c>
      <c r="M238" s="3">
        <f t="shared" si="18"/>
        <v>21784</v>
      </c>
      <c r="N238" s="3">
        <f t="shared" si="19"/>
        <v>7776.1099999999969</v>
      </c>
    </row>
    <row r="239" spans="4:14" x14ac:dyDescent="0.35">
      <c r="D239" s="1" t="s">
        <v>439</v>
      </c>
      <c r="E239" s="1" t="s">
        <v>711</v>
      </c>
      <c r="F239" t="s">
        <v>13</v>
      </c>
      <c r="G239" s="12">
        <v>468</v>
      </c>
      <c r="H239" s="3">
        <v>107</v>
      </c>
      <c r="I239" s="3">
        <f t="shared" si="15"/>
        <v>50076</v>
      </c>
      <c r="J239" s="3">
        <f t="shared" si="16"/>
        <v>143.99</v>
      </c>
      <c r="K239" s="88">
        <v>283</v>
      </c>
      <c r="L239" s="3">
        <f t="shared" si="17"/>
        <v>40749.170000000006</v>
      </c>
      <c r="M239" s="3">
        <f t="shared" si="18"/>
        <v>30281</v>
      </c>
      <c r="N239" s="3">
        <f t="shared" si="19"/>
        <v>10468.170000000006</v>
      </c>
    </row>
    <row r="240" spans="4:14" x14ac:dyDescent="0.35">
      <c r="D240" s="1" t="s">
        <v>611</v>
      </c>
      <c r="E240" s="1" t="s">
        <v>894</v>
      </c>
      <c r="F240" t="s">
        <v>17</v>
      </c>
      <c r="G240" s="12">
        <v>256</v>
      </c>
      <c r="H240" s="3">
        <v>48</v>
      </c>
      <c r="I240" s="3">
        <f t="shared" si="15"/>
        <v>12288</v>
      </c>
      <c r="J240" s="3">
        <f t="shared" si="16"/>
        <v>64.989999999999995</v>
      </c>
      <c r="K240" s="88">
        <v>205</v>
      </c>
      <c r="L240" s="3">
        <f t="shared" si="17"/>
        <v>13322.949999999999</v>
      </c>
      <c r="M240" s="3">
        <f t="shared" si="18"/>
        <v>9840</v>
      </c>
      <c r="N240" s="3">
        <f t="shared" si="19"/>
        <v>3482.9499999999989</v>
      </c>
    </row>
    <row r="241" spans="4:14" x14ac:dyDescent="0.35">
      <c r="D241" s="1" t="s">
        <v>446</v>
      </c>
      <c r="E241" s="1" t="s">
        <v>711</v>
      </c>
      <c r="F241" t="s">
        <v>12</v>
      </c>
      <c r="G241" s="12">
        <v>399</v>
      </c>
      <c r="H241" s="3">
        <v>36</v>
      </c>
      <c r="I241" s="3">
        <f t="shared" si="15"/>
        <v>14364</v>
      </c>
      <c r="J241" s="3">
        <f t="shared" si="16"/>
        <v>48.99</v>
      </c>
      <c r="K241" s="88">
        <v>389</v>
      </c>
      <c r="L241" s="3">
        <f t="shared" si="17"/>
        <v>19057.11</v>
      </c>
      <c r="M241" s="3">
        <f t="shared" si="18"/>
        <v>14004</v>
      </c>
      <c r="N241" s="3">
        <f t="shared" si="19"/>
        <v>5053.1100000000006</v>
      </c>
    </row>
    <row r="242" spans="4:14" x14ac:dyDescent="0.35">
      <c r="D242" s="1" t="s">
        <v>612</v>
      </c>
      <c r="E242" s="1" t="s">
        <v>891</v>
      </c>
      <c r="F242" t="s">
        <v>333</v>
      </c>
      <c r="G242" s="12">
        <v>478</v>
      </c>
      <c r="H242" s="3">
        <v>143</v>
      </c>
      <c r="I242" s="3">
        <f t="shared" si="15"/>
        <v>68354</v>
      </c>
      <c r="J242" s="3">
        <f t="shared" si="16"/>
        <v>192.99</v>
      </c>
      <c r="K242" s="88">
        <v>474</v>
      </c>
      <c r="L242" s="3">
        <f t="shared" si="17"/>
        <v>91477.260000000009</v>
      </c>
      <c r="M242" s="3">
        <f t="shared" si="18"/>
        <v>67782</v>
      </c>
      <c r="N242" s="3">
        <f t="shared" si="19"/>
        <v>23695.260000000009</v>
      </c>
    </row>
    <row r="243" spans="4:14" x14ac:dyDescent="0.35">
      <c r="D243" s="1" t="s">
        <v>562</v>
      </c>
      <c r="E243" s="1" t="s">
        <v>711</v>
      </c>
      <c r="F243" t="s">
        <v>14</v>
      </c>
      <c r="G243" s="12">
        <v>298</v>
      </c>
      <c r="H243" s="3">
        <v>61</v>
      </c>
      <c r="I243" s="3">
        <f t="shared" si="15"/>
        <v>18178</v>
      </c>
      <c r="J243" s="3">
        <f t="shared" si="16"/>
        <v>81.99</v>
      </c>
      <c r="K243" s="88">
        <v>231</v>
      </c>
      <c r="L243" s="3">
        <f t="shared" si="17"/>
        <v>18939.689999999999</v>
      </c>
      <c r="M243" s="3">
        <f t="shared" si="18"/>
        <v>14091</v>
      </c>
      <c r="N243" s="3">
        <f t="shared" si="19"/>
        <v>4848.6899999999987</v>
      </c>
    </row>
    <row r="244" spans="4:14" x14ac:dyDescent="0.35">
      <c r="D244" s="1" t="s">
        <v>439</v>
      </c>
      <c r="E244" s="1" t="s">
        <v>711</v>
      </c>
      <c r="F244" t="s">
        <v>9</v>
      </c>
      <c r="G244" s="12">
        <v>106</v>
      </c>
      <c r="H244" s="3">
        <v>55</v>
      </c>
      <c r="I244" s="3">
        <f t="shared" si="15"/>
        <v>5830</v>
      </c>
      <c r="J244" s="3">
        <f t="shared" si="16"/>
        <v>73.989999999999995</v>
      </c>
      <c r="K244" s="88">
        <v>102</v>
      </c>
      <c r="L244" s="3">
        <f t="shared" si="17"/>
        <v>7546.98</v>
      </c>
      <c r="M244" s="3">
        <f t="shared" si="18"/>
        <v>5610</v>
      </c>
      <c r="N244" s="3">
        <f t="shared" si="19"/>
        <v>1936.9799999999996</v>
      </c>
    </row>
    <row r="245" spans="4:14" x14ac:dyDescent="0.35">
      <c r="D245" s="1" t="s">
        <v>613</v>
      </c>
      <c r="E245" s="1" t="s">
        <v>885</v>
      </c>
      <c r="F245" t="s">
        <v>17</v>
      </c>
      <c r="G245" s="12">
        <v>489</v>
      </c>
      <c r="H245" s="3">
        <v>45</v>
      </c>
      <c r="I245" s="3">
        <f t="shared" ref="I245:I308" si="20">G245*H245</f>
        <v>22005</v>
      </c>
      <c r="J245" s="3">
        <f t="shared" si="16"/>
        <v>60.99</v>
      </c>
      <c r="K245" s="88">
        <v>455</v>
      </c>
      <c r="L245" s="3">
        <f t="shared" si="17"/>
        <v>27750.45</v>
      </c>
      <c r="M245" s="3">
        <f t="shared" si="18"/>
        <v>20475</v>
      </c>
      <c r="N245" s="3">
        <f t="shared" si="19"/>
        <v>7275.4500000000007</v>
      </c>
    </row>
    <row r="246" spans="4:14" x14ac:dyDescent="0.35">
      <c r="D246" s="1" t="s">
        <v>614</v>
      </c>
      <c r="E246" s="1" t="s">
        <v>711</v>
      </c>
      <c r="F246" t="s">
        <v>15</v>
      </c>
      <c r="G246" s="12">
        <v>236</v>
      </c>
      <c r="H246" s="3">
        <v>9</v>
      </c>
      <c r="I246" s="3">
        <f t="shared" si="20"/>
        <v>2124</v>
      </c>
      <c r="J246" s="3">
        <f t="shared" si="16"/>
        <v>11.99</v>
      </c>
      <c r="K246" s="88">
        <v>197</v>
      </c>
      <c r="L246" s="3">
        <f t="shared" si="17"/>
        <v>2362.0300000000002</v>
      </c>
      <c r="M246" s="3">
        <f t="shared" si="18"/>
        <v>1773</v>
      </c>
      <c r="N246" s="3">
        <f t="shared" si="19"/>
        <v>589.0300000000002</v>
      </c>
    </row>
    <row r="247" spans="4:14" x14ac:dyDescent="0.35">
      <c r="D247" s="1" t="s">
        <v>558</v>
      </c>
      <c r="E247" s="1" t="s">
        <v>711</v>
      </c>
      <c r="F247" t="s">
        <v>13</v>
      </c>
      <c r="G247" s="12">
        <v>258</v>
      </c>
      <c r="H247" s="3">
        <v>114</v>
      </c>
      <c r="I247" s="3">
        <f t="shared" si="20"/>
        <v>29412</v>
      </c>
      <c r="J247" s="3">
        <f t="shared" si="16"/>
        <v>153.99</v>
      </c>
      <c r="K247" s="88">
        <v>232</v>
      </c>
      <c r="L247" s="3">
        <f t="shared" si="17"/>
        <v>35725.68</v>
      </c>
      <c r="M247" s="3">
        <f t="shared" si="18"/>
        <v>26448</v>
      </c>
      <c r="N247" s="3">
        <f t="shared" si="19"/>
        <v>9277.68</v>
      </c>
    </row>
    <row r="248" spans="4:14" x14ac:dyDescent="0.35">
      <c r="D248" s="1" t="s">
        <v>471</v>
      </c>
      <c r="E248" s="1" t="s">
        <v>711</v>
      </c>
      <c r="F248" t="s">
        <v>12</v>
      </c>
      <c r="G248" s="12">
        <v>195</v>
      </c>
      <c r="H248" s="3">
        <v>63</v>
      </c>
      <c r="I248" s="3">
        <f t="shared" si="20"/>
        <v>12285</v>
      </c>
      <c r="J248" s="3">
        <f t="shared" si="16"/>
        <v>84.99</v>
      </c>
      <c r="K248" s="88">
        <v>106</v>
      </c>
      <c r="L248" s="3">
        <f t="shared" si="17"/>
        <v>9008.9399999999987</v>
      </c>
      <c r="M248" s="3">
        <f t="shared" si="18"/>
        <v>6678</v>
      </c>
      <c r="N248" s="3">
        <f t="shared" si="19"/>
        <v>2330.9399999999987</v>
      </c>
    </row>
    <row r="249" spans="4:14" x14ac:dyDescent="0.35">
      <c r="D249" s="1" t="s">
        <v>615</v>
      </c>
      <c r="E249" s="1" t="s">
        <v>711</v>
      </c>
      <c r="F249" t="s">
        <v>11</v>
      </c>
      <c r="G249" s="12">
        <v>399</v>
      </c>
      <c r="H249" s="3">
        <v>87</v>
      </c>
      <c r="I249" s="3">
        <f t="shared" si="20"/>
        <v>34713</v>
      </c>
      <c r="J249" s="3">
        <f t="shared" si="16"/>
        <v>116.99</v>
      </c>
      <c r="K249" s="88">
        <v>287</v>
      </c>
      <c r="L249" s="3">
        <f t="shared" si="17"/>
        <v>33576.129999999997</v>
      </c>
      <c r="M249" s="3">
        <f t="shared" si="18"/>
        <v>24969</v>
      </c>
      <c r="N249" s="3">
        <f t="shared" si="19"/>
        <v>8607.1299999999974</v>
      </c>
    </row>
    <row r="250" spans="4:14" x14ac:dyDescent="0.35">
      <c r="D250" s="1" t="s">
        <v>616</v>
      </c>
      <c r="E250" s="1" t="s">
        <v>711</v>
      </c>
      <c r="F250" t="s">
        <v>12</v>
      </c>
      <c r="G250" s="12">
        <v>179</v>
      </c>
      <c r="H250" s="3">
        <v>85</v>
      </c>
      <c r="I250" s="3">
        <f t="shared" si="20"/>
        <v>15215</v>
      </c>
      <c r="J250" s="3">
        <f t="shared" si="16"/>
        <v>114.99</v>
      </c>
      <c r="K250" s="88">
        <v>121</v>
      </c>
      <c r="L250" s="3">
        <f t="shared" si="17"/>
        <v>13913.789999999999</v>
      </c>
      <c r="M250" s="3">
        <f t="shared" si="18"/>
        <v>10285</v>
      </c>
      <c r="N250" s="3">
        <f t="shared" si="19"/>
        <v>3628.7899999999991</v>
      </c>
    </row>
    <row r="251" spans="4:14" x14ac:dyDescent="0.35">
      <c r="D251" s="1" t="s">
        <v>617</v>
      </c>
      <c r="E251" s="1" t="s">
        <v>711</v>
      </c>
      <c r="F251" t="s">
        <v>17</v>
      </c>
      <c r="G251" s="12">
        <v>380</v>
      </c>
      <c r="H251" s="3">
        <v>20</v>
      </c>
      <c r="I251" s="3">
        <f t="shared" si="20"/>
        <v>7600</v>
      </c>
      <c r="J251" s="3">
        <f t="shared" si="16"/>
        <v>26.99</v>
      </c>
      <c r="K251" s="88">
        <v>131</v>
      </c>
      <c r="L251" s="3">
        <f t="shared" si="17"/>
        <v>3535.6899999999996</v>
      </c>
      <c r="M251" s="3">
        <f t="shared" si="18"/>
        <v>2620</v>
      </c>
      <c r="N251" s="3">
        <f t="shared" si="19"/>
        <v>915.6899999999996</v>
      </c>
    </row>
    <row r="252" spans="4:14" x14ac:dyDescent="0.35">
      <c r="D252" s="1" t="s">
        <v>618</v>
      </c>
      <c r="E252" s="1" t="s">
        <v>712</v>
      </c>
      <c r="F252" t="s">
        <v>13</v>
      </c>
      <c r="G252" s="12">
        <v>155</v>
      </c>
      <c r="H252" s="3">
        <v>115</v>
      </c>
      <c r="I252" s="3">
        <f t="shared" si="20"/>
        <v>17825</v>
      </c>
      <c r="J252" s="3">
        <f t="shared" si="16"/>
        <v>154.99</v>
      </c>
      <c r="K252" s="88">
        <v>100</v>
      </c>
      <c r="L252" s="3">
        <f t="shared" si="17"/>
        <v>15499</v>
      </c>
      <c r="M252" s="3">
        <f t="shared" si="18"/>
        <v>11500</v>
      </c>
      <c r="N252" s="3">
        <f t="shared" si="19"/>
        <v>3999</v>
      </c>
    </row>
    <row r="253" spans="4:14" x14ac:dyDescent="0.35">
      <c r="D253" s="1" t="s">
        <v>619</v>
      </c>
      <c r="E253" s="1" t="s">
        <v>885</v>
      </c>
      <c r="F253" t="s">
        <v>13</v>
      </c>
      <c r="G253" s="12">
        <v>400</v>
      </c>
      <c r="H253" s="3">
        <v>107</v>
      </c>
      <c r="I253" s="3">
        <f t="shared" si="20"/>
        <v>42800</v>
      </c>
      <c r="J253" s="3">
        <f t="shared" si="16"/>
        <v>143.99</v>
      </c>
      <c r="K253" s="88">
        <v>335</v>
      </c>
      <c r="L253" s="3">
        <f t="shared" si="17"/>
        <v>48236.65</v>
      </c>
      <c r="M253" s="3">
        <f t="shared" si="18"/>
        <v>35845</v>
      </c>
      <c r="N253" s="3">
        <f t="shared" si="19"/>
        <v>12391.650000000001</v>
      </c>
    </row>
    <row r="254" spans="4:14" x14ac:dyDescent="0.35">
      <c r="D254" s="1" t="s">
        <v>578</v>
      </c>
      <c r="E254" s="1" t="s">
        <v>711</v>
      </c>
      <c r="F254" t="s">
        <v>17</v>
      </c>
      <c r="G254" s="12">
        <v>187</v>
      </c>
      <c r="H254" s="3">
        <v>26</v>
      </c>
      <c r="I254" s="3">
        <f t="shared" si="20"/>
        <v>4862</v>
      </c>
      <c r="J254" s="3">
        <f t="shared" si="16"/>
        <v>34.99</v>
      </c>
      <c r="K254" s="88">
        <v>162</v>
      </c>
      <c r="L254" s="3">
        <f t="shared" si="17"/>
        <v>5668.38</v>
      </c>
      <c r="M254" s="3">
        <f t="shared" si="18"/>
        <v>4212</v>
      </c>
      <c r="N254" s="3">
        <f t="shared" si="19"/>
        <v>1456.38</v>
      </c>
    </row>
    <row r="255" spans="4:14" x14ac:dyDescent="0.35">
      <c r="D255" s="1" t="s">
        <v>430</v>
      </c>
      <c r="E255" s="1" t="s">
        <v>711</v>
      </c>
      <c r="F255" t="s">
        <v>16</v>
      </c>
      <c r="G255" s="12">
        <v>427</v>
      </c>
      <c r="H255" s="3">
        <v>29</v>
      </c>
      <c r="I255" s="3">
        <f t="shared" si="20"/>
        <v>12383</v>
      </c>
      <c r="J255" s="3">
        <f t="shared" si="16"/>
        <v>38.99</v>
      </c>
      <c r="K255" s="88">
        <v>135</v>
      </c>
      <c r="L255" s="3">
        <f t="shared" si="17"/>
        <v>5263.6500000000005</v>
      </c>
      <c r="M255" s="3">
        <f t="shared" si="18"/>
        <v>3915</v>
      </c>
      <c r="N255" s="3">
        <f t="shared" si="19"/>
        <v>1348.6500000000005</v>
      </c>
    </row>
    <row r="256" spans="4:14" x14ac:dyDescent="0.35">
      <c r="D256" s="1" t="s">
        <v>620</v>
      </c>
      <c r="E256" s="1" t="s">
        <v>904</v>
      </c>
      <c r="F256" t="s">
        <v>13</v>
      </c>
      <c r="G256" s="12">
        <v>370</v>
      </c>
      <c r="H256" s="3">
        <v>90</v>
      </c>
      <c r="I256" s="3">
        <f t="shared" si="20"/>
        <v>33300</v>
      </c>
      <c r="J256" s="3">
        <f t="shared" si="16"/>
        <v>121.99</v>
      </c>
      <c r="K256" s="88">
        <v>236</v>
      </c>
      <c r="L256" s="3">
        <f t="shared" si="17"/>
        <v>28789.64</v>
      </c>
      <c r="M256" s="3">
        <f t="shared" si="18"/>
        <v>21240</v>
      </c>
      <c r="N256" s="3">
        <f t="shared" si="19"/>
        <v>7549.6399999999994</v>
      </c>
    </row>
    <row r="257" spans="4:14" x14ac:dyDescent="0.35">
      <c r="D257" s="1" t="s">
        <v>567</v>
      </c>
      <c r="E257" s="1" t="s">
        <v>894</v>
      </c>
      <c r="F257" t="s">
        <v>14</v>
      </c>
      <c r="G257" s="12">
        <v>280</v>
      </c>
      <c r="H257" s="3">
        <v>37</v>
      </c>
      <c r="I257" s="3">
        <f t="shared" si="20"/>
        <v>10360</v>
      </c>
      <c r="J257" s="3">
        <f t="shared" si="16"/>
        <v>49.99</v>
      </c>
      <c r="K257" s="88">
        <v>115</v>
      </c>
      <c r="L257" s="3">
        <f t="shared" si="17"/>
        <v>5748.85</v>
      </c>
      <c r="M257" s="3">
        <f t="shared" si="18"/>
        <v>4255</v>
      </c>
      <c r="N257" s="3">
        <f t="shared" si="19"/>
        <v>1493.8500000000004</v>
      </c>
    </row>
    <row r="258" spans="4:14" x14ac:dyDescent="0.35">
      <c r="D258" s="1" t="s">
        <v>621</v>
      </c>
      <c r="E258" s="1" t="s">
        <v>885</v>
      </c>
      <c r="F258" t="s">
        <v>15</v>
      </c>
      <c r="G258" s="12">
        <v>213</v>
      </c>
      <c r="H258" s="3">
        <v>88</v>
      </c>
      <c r="I258" s="3">
        <f t="shared" si="20"/>
        <v>18744</v>
      </c>
      <c r="J258" s="3">
        <f t="shared" si="16"/>
        <v>118.99</v>
      </c>
      <c r="K258" s="88">
        <v>154</v>
      </c>
      <c r="L258" s="3">
        <f t="shared" si="17"/>
        <v>18324.46</v>
      </c>
      <c r="M258" s="3">
        <f t="shared" si="18"/>
        <v>13552</v>
      </c>
      <c r="N258" s="3">
        <f t="shared" si="19"/>
        <v>4772.4599999999991</v>
      </c>
    </row>
    <row r="259" spans="4:14" x14ac:dyDescent="0.35">
      <c r="D259" s="1" t="s">
        <v>622</v>
      </c>
      <c r="E259" s="1" t="s">
        <v>885</v>
      </c>
      <c r="F259" t="s">
        <v>16</v>
      </c>
      <c r="G259" s="12">
        <v>194</v>
      </c>
      <c r="H259" s="3">
        <v>86</v>
      </c>
      <c r="I259" s="3">
        <f t="shared" si="20"/>
        <v>16684</v>
      </c>
      <c r="J259" s="3">
        <f t="shared" si="16"/>
        <v>115.99</v>
      </c>
      <c r="K259" s="88">
        <v>118</v>
      </c>
      <c r="L259" s="3">
        <f t="shared" si="17"/>
        <v>13686.82</v>
      </c>
      <c r="M259" s="3">
        <f t="shared" si="18"/>
        <v>10148</v>
      </c>
      <c r="N259" s="3">
        <f t="shared" si="19"/>
        <v>3538.8199999999997</v>
      </c>
    </row>
    <row r="260" spans="4:14" x14ac:dyDescent="0.35">
      <c r="D260" s="1" t="s">
        <v>471</v>
      </c>
      <c r="E260" s="1" t="s">
        <v>711</v>
      </c>
      <c r="F260" t="s">
        <v>10</v>
      </c>
      <c r="G260" s="12">
        <v>414</v>
      </c>
      <c r="H260" s="3">
        <v>134</v>
      </c>
      <c r="I260" s="3">
        <f t="shared" si="20"/>
        <v>55476</v>
      </c>
      <c r="J260" s="3">
        <f t="shared" si="16"/>
        <v>180.99</v>
      </c>
      <c r="K260" s="88">
        <v>220</v>
      </c>
      <c r="L260" s="3">
        <f t="shared" si="17"/>
        <v>39817.800000000003</v>
      </c>
      <c r="M260" s="3">
        <f t="shared" si="18"/>
        <v>29480</v>
      </c>
      <c r="N260" s="3">
        <f t="shared" si="19"/>
        <v>10337.800000000003</v>
      </c>
    </row>
    <row r="261" spans="4:14" x14ac:dyDescent="0.35">
      <c r="D261" s="1" t="s">
        <v>623</v>
      </c>
      <c r="E261" s="1" t="s">
        <v>711</v>
      </c>
      <c r="F261" t="s">
        <v>10</v>
      </c>
      <c r="G261" s="12">
        <v>170</v>
      </c>
      <c r="H261" s="3">
        <v>123</v>
      </c>
      <c r="I261" s="3">
        <f t="shared" si="20"/>
        <v>20910</v>
      </c>
      <c r="J261" s="3">
        <f t="shared" si="16"/>
        <v>165.99</v>
      </c>
      <c r="K261" s="88">
        <v>152</v>
      </c>
      <c r="L261" s="3">
        <f t="shared" si="17"/>
        <v>25230.480000000003</v>
      </c>
      <c r="M261" s="3">
        <f t="shared" si="18"/>
        <v>18696</v>
      </c>
      <c r="N261" s="3">
        <f t="shared" si="19"/>
        <v>6534.4800000000032</v>
      </c>
    </row>
    <row r="262" spans="4:14" x14ac:dyDescent="0.35">
      <c r="D262" s="1" t="s">
        <v>624</v>
      </c>
      <c r="E262" s="1" t="s">
        <v>904</v>
      </c>
      <c r="F262" t="s">
        <v>9</v>
      </c>
      <c r="G262" s="12">
        <v>176</v>
      </c>
      <c r="H262" s="3">
        <v>111</v>
      </c>
      <c r="I262" s="3">
        <f t="shared" si="20"/>
        <v>19536</v>
      </c>
      <c r="J262" s="3">
        <f t="shared" ref="J262:J325" si="21">ROUND((H262*35%)+H262,0)-0.01</f>
        <v>149.99</v>
      </c>
      <c r="K262" s="88">
        <v>168</v>
      </c>
      <c r="L262" s="3">
        <f t="shared" ref="L262:L325" si="22">K262*J262</f>
        <v>25198.32</v>
      </c>
      <c r="M262" s="3">
        <f t="shared" ref="M262:M325" si="23">H262*K262</f>
        <v>18648</v>
      </c>
      <c r="N262" s="3">
        <f t="shared" ref="N262:N325" si="24">L262-M262</f>
        <v>6550.32</v>
      </c>
    </row>
    <row r="263" spans="4:14" x14ac:dyDescent="0.35">
      <c r="D263" s="1" t="s">
        <v>625</v>
      </c>
      <c r="E263" s="1" t="s">
        <v>885</v>
      </c>
      <c r="F263" t="s">
        <v>12</v>
      </c>
      <c r="G263" s="12">
        <v>376</v>
      </c>
      <c r="H263" s="3">
        <v>108</v>
      </c>
      <c r="I263" s="3">
        <f t="shared" si="20"/>
        <v>40608</v>
      </c>
      <c r="J263" s="3">
        <f t="shared" si="21"/>
        <v>145.99</v>
      </c>
      <c r="K263" s="88">
        <v>261</v>
      </c>
      <c r="L263" s="3">
        <f t="shared" si="22"/>
        <v>38103.39</v>
      </c>
      <c r="M263" s="3">
        <f t="shared" si="23"/>
        <v>28188</v>
      </c>
      <c r="N263" s="3">
        <f t="shared" si="24"/>
        <v>9915.39</v>
      </c>
    </row>
    <row r="264" spans="4:14" x14ac:dyDescent="0.35">
      <c r="D264" s="1" t="s">
        <v>493</v>
      </c>
      <c r="E264" s="1" t="s">
        <v>711</v>
      </c>
      <c r="F264" t="s">
        <v>15</v>
      </c>
      <c r="G264" s="12">
        <v>195</v>
      </c>
      <c r="H264" s="3">
        <v>20</v>
      </c>
      <c r="I264" s="3">
        <f t="shared" si="20"/>
        <v>3900</v>
      </c>
      <c r="J264" s="3">
        <f t="shared" si="21"/>
        <v>26.99</v>
      </c>
      <c r="K264" s="88">
        <v>184</v>
      </c>
      <c r="L264" s="3">
        <f t="shared" si="22"/>
        <v>4966.16</v>
      </c>
      <c r="M264" s="3">
        <f t="shared" si="23"/>
        <v>3680</v>
      </c>
      <c r="N264" s="3">
        <f t="shared" si="24"/>
        <v>1286.1599999999999</v>
      </c>
    </row>
    <row r="265" spans="4:14" x14ac:dyDescent="0.35">
      <c r="D265" s="1" t="s">
        <v>553</v>
      </c>
      <c r="E265" s="1" t="s">
        <v>711</v>
      </c>
      <c r="F265" t="s">
        <v>13</v>
      </c>
      <c r="G265" s="12">
        <v>474</v>
      </c>
      <c r="H265" s="3">
        <v>44</v>
      </c>
      <c r="I265" s="3">
        <f t="shared" si="20"/>
        <v>20856</v>
      </c>
      <c r="J265" s="3">
        <f t="shared" si="21"/>
        <v>58.99</v>
      </c>
      <c r="K265" s="88">
        <v>287</v>
      </c>
      <c r="L265" s="3">
        <f t="shared" si="22"/>
        <v>16930.13</v>
      </c>
      <c r="M265" s="3">
        <f t="shared" si="23"/>
        <v>12628</v>
      </c>
      <c r="N265" s="3">
        <f t="shared" si="24"/>
        <v>4302.130000000001</v>
      </c>
    </row>
    <row r="266" spans="4:14" x14ac:dyDescent="0.35">
      <c r="D266" s="1" t="s">
        <v>626</v>
      </c>
      <c r="E266" s="1" t="s">
        <v>888</v>
      </c>
      <c r="F266" t="s">
        <v>12</v>
      </c>
      <c r="G266" s="12">
        <v>394</v>
      </c>
      <c r="H266" s="3">
        <v>45</v>
      </c>
      <c r="I266" s="3">
        <f t="shared" si="20"/>
        <v>17730</v>
      </c>
      <c r="J266" s="3">
        <f t="shared" si="21"/>
        <v>60.99</v>
      </c>
      <c r="K266" s="88">
        <v>142</v>
      </c>
      <c r="L266" s="3">
        <f t="shared" si="22"/>
        <v>8660.58</v>
      </c>
      <c r="M266" s="3">
        <f t="shared" si="23"/>
        <v>6390</v>
      </c>
      <c r="N266" s="3">
        <f t="shared" si="24"/>
        <v>2270.58</v>
      </c>
    </row>
    <row r="267" spans="4:14" x14ac:dyDescent="0.35">
      <c r="D267" s="1" t="s">
        <v>627</v>
      </c>
      <c r="E267" s="1" t="s">
        <v>711</v>
      </c>
      <c r="F267" t="s">
        <v>13</v>
      </c>
      <c r="G267" s="12">
        <v>395</v>
      </c>
      <c r="H267" s="3">
        <v>121</v>
      </c>
      <c r="I267" s="3">
        <f t="shared" si="20"/>
        <v>47795</v>
      </c>
      <c r="J267" s="3">
        <f t="shared" si="21"/>
        <v>162.99</v>
      </c>
      <c r="K267" s="88">
        <v>168</v>
      </c>
      <c r="L267" s="3">
        <f t="shared" si="22"/>
        <v>27382.32</v>
      </c>
      <c r="M267" s="3">
        <f t="shared" si="23"/>
        <v>20328</v>
      </c>
      <c r="N267" s="3">
        <f t="shared" si="24"/>
        <v>7054.32</v>
      </c>
    </row>
    <row r="268" spans="4:14" x14ac:dyDescent="0.35">
      <c r="D268" s="1" t="s">
        <v>628</v>
      </c>
      <c r="E268" s="1" t="s">
        <v>885</v>
      </c>
      <c r="F268" t="s">
        <v>9</v>
      </c>
      <c r="G268" s="12">
        <v>434</v>
      </c>
      <c r="H268" s="3">
        <v>15</v>
      </c>
      <c r="I268" s="3">
        <f t="shared" si="20"/>
        <v>6510</v>
      </c>
      <c r="J268" s="3">
        <f t="shared" si="21"/>
        <v>19.989999999999998</v>
      </c>
      <c r="K268" s="88">
        <v>318</v>
      </c>
      <c r="L268" s="3">
        <f t="shared" si="22"/>
        <v>6356.82</v>
      </c>
      <c r="M268" s="3">
        <f t="shared" si="23"/>
        <v>4770</v>
      </c>
      <c r="N268" s="3">
        <f t="shared" si="24"/>
        <v>1586.8199999999997</v>
      </c>
    </row>
    <row r="269" spans="4:14" x14ac:dyDescent="0.35">
      <c r="D269" s="1" t="s">
        <v>629</v>
      </c>
      <c r="E269" s="1" t="s">
        <v>711</v>
      </c>
      <c r="F269" t="s">
        <v>17</v>
      </c>
      <c r="G269" s="12">
        <v>229</v>
      </c>
      <c r="H269" s="3">
        <v>32</v>
      </c>
      <c r="I269" s="3">
        <f t="shared" si="20"/>
        <v>7328</v>
      </c>
      <c r="J269" s="3">
        <f t="shared" si="21"/>
        <v>42.99</v>
      </c>
      <c r="K269" s="88">
        <v>111</v>
      </c>
      <c r="L269" s="3">
        <f t="shared" si="22"/>
        <v>4771.8900000000003</v>
      </c>
      <c r="M269" s="3">
        <f t="shared" si="23"/>
        <v>3552</v>
      </c>
      <c r="N269" s="3">
        <f t="shared" si="24"/>
        <v>1219.8900000000003</v>
      </c>
    </row>
    <row r="270" spans="4:14" x14ac:dyDescent="0.35">
      <c r="D270" s="1" t="s">
        <v>630</v>
      </c>
      <c r="E270" s="1" t="s">
        <v>906</v>
      </c>
      <c r="F270" t="s">
        <v>12</v>
      </c>
      <c r="G270" s="12">
        <v>462</v>
      </c>
      <c r="H270" s="3">
        <v>30</v>
      </c>
      <c r="I270" s="3">
        <f t="shared" si="20"/>
        <v>13860</v>
      </c>
      <c r="J270" s="3">
        <f t="shared" si="21"/>
        <v>40.99</v>
      </c>
      <c r="K270" s="88">
        <v>334</v>
      </c>
      <c r="L270" s="3">
        <f t="shared" si="22"/>
        <v>13690.66</v>
      </c>
      <c r="M270" s="3">
        <f t="shared" si="23"/>
        <v>10020</v>
      </c>
      <c r="N270" s="3">
        <f t="shared" si="24"/>
        <v>3670.66</v>
      </c>
    </row>
    <row r="271" spans="4:14" x14ac:dyDescent="0.35">
      <c r="D271" s="1" t="s">
        <v>502</v>
      </c>
      <c r="E271" s="1" t="s">
        <v>712</v>
      </c>
      <c r="F271" t="s">
        <v>14</v>
      </c>
      <c r="G271" s="12">
        <v>161</v>
      </c>
      <c r="H271" s="3">
        <v>128</v>
      </c>
      <c r="I271" s="3">
        <f t="shared" si="20"/>
        <v>20608</v>
      </c>
      <c r="J271" s="3">
        <f t="shared" si="21"/>
        <v>172.99</v>
      </c>
      <c r="K271" s="88">
        <v>136</v>
      </c>
      <c r="L271" s="3">
        <f t="shared" si="22"/>
        <v>23526.639999999999</v>
      </c>
      <c r="M271" s="3">
        <f t="shared" si="23"/>
        <v>17408</v>
      </c>
      <c r="N271" s="3">
        <f t="shared" si="24"/>
        <v>6118.6399999999994</v>
      </c>
    </row>
    <row r="272" spans="4:14" x14ac:dyDescent="0.35">
      <c r="D272" s="1" t="s">
        <v>631</v>
      </c>
      <c r="E272" s="1" t="s">
        <v>885</v>
      </c>
      <c r="F272" t="s">
        <v>14</v>
      </c>
      <c r="G272" s="12">
        <v>306</v>
      </c>
      <c r="H272" s="3">
        <v>147</v>
      </c>
      <c r="I272" s="3">
        <f t="shared" si="20"/>
        <v>44982</v>
      </c>
      <c r="J272" s="3">
        <f t="shared" si="21"/>
        <v>197.99</v>
      </c>
      <c r="K272" s="88">
        <v>218</v>
      </c>
      <c r="L272" s="3">
        <f t="shared" si="22"/>
        <v>43161.82</v>
      </c>
      <c r="M272" s="3">
        <f t="shared" si="23"/>
        <v>32046</v>
      </c>
      <c r="N272" s="3">
        <f t="shared" si="24"/>
        <v>11115.82</v>
      </c>
    </row>
    <row r="273" spans="4:14" x14ac:dyDescent="0.35">
      <c r="D273" s="1" t="s">
        <v>632</v>
      </c>
      <c r="E273" s="1" t="s">
        <v>891</v>
      </c>
      <c r="F273" t="s">
        <v>16</v>
      </c>
      <c r="G273" s="12">
        <v>115</v>
      </c>
      <c r="H273" s="3">
        <v>24</v>
      </c>
      <c r="I273" s="3">
        <f t="shared" si="20"/>
        <v>2760</v>
      </c>
      <c r="J273" s="3">
        <f t="shared" si="21"/>
        <v>31.99</v>
      </c>
      <c r="K273" s="88">
        <v>110</v>
      </c>
      <c r="L273" s="3">
        <f t="shared" si="22"/>
        <v>3518.8999999999996</v>
      </c>
      <c r="M273" s="3">
        <f t="shared" si="23"/>
        <v>2640</v>
      </c>
      <c r="N273" s="3">
        <f t="shared" si="24"/>
        <v>878.89999999999964</v>
      </c>
    </row>
    <row r="274" spans="4:14" x14ac:dyDescent="0.35">
      <c r="D274" s="1" t="s">
        <v>594</v>
      </c>
      <c r="E274" s="1" t="s">
        <v>711</v>
      </c>
      <c r="F274" t="s">
        <v>333</v>
      </c>
      <c r="G274" s="12">
        <v>382</v>
      </c>
      <c r="H274" s="3">
        <v>32</v>
      </c>
      <c r="I274" s="3">
        <f t="shared" si="20"/>
        <v>12224</v>
      </c>
      <c r="J274" s="3">
        <f t="shared" si="21"/>
        <v>42.99</v>
      </c>
      <c r="K274" s="88">
        <v>102</v>
      </c>
      <c r="L274" s="3">
        <f t="shared" si="22"/>
        <v>4384.9800000000005</v>
      </c>
      <c r="M274" s="3">
        <f t="shared" si="23"/>
        <v>3264</v>
      </c>
      <c r="N274" s="3">
        <f t="shared" si="24"/>
        <v>1120.9800000000005</v>
      </c>
    </row>
    <row r="275" spans="4:14" x14ac:dyDescent="0.35">
      <c r="D275" s="1" t="s">
        <v>633</v>
      </c>
      <c r="E275" s="1" t="s">
        <v>711</v>
      </c>
      <c r="F275" t="s">
        <v>13</v>
      </c>
      <c r="G275" s="12">
        <v>247</v>
      </c>
      <c r="H275" s="3">
        <v>14</v>
      </c>
      <c r="I275" s="3">
        <f t="shared" si="20"/>
        <v>3458</v>
      </c>
      <c r="J275" s="3">
        <f t="shared" si="21"/>
        <v>18.989999999999998</v>
      </c>
      <c r="K275" s="88">
        <v>216</v>
      </c>
      <c r="L275" s="3">
        <f t="shared" si="22"/>
        <v>4101.8399999999992</v>
      </c>
      <c r="M275" s="3">
        <f t="shared" si="23"/>
        <v>3024</v>
      </c>
      <c r="N275" s="3">
        <f t="shared" si="24"/>
        <v>1077.8399999999992</v>
      </c>
    </row>
    <row r="276" spans="4:14" x14ac:dyDescent="0.35">
      <c r="D276" s="1" t="s">
        <v>634</v>
      </c>
      <c r="E276" s="1" t="s">
        <v>712</v>
      </c>
      <c r="F276" t="s">
        <v>16</v>
      </c>
      <c r="G276" s="12">
        <v>101</v>
      </c>
      <c r="H276" s="3">
        <v>55</v>
      </c>
      <c r="I276" s="3">
        <f t="shared" si="20"/>
        <v>5555</v>
      </c>
      <c r="J276" s="3">
        <f t="shared" si="21"/>
        <v>73.989999999999995</v>
      </c>
      <c r="K276" s="88">
        <v>100</v>
      </c>
      <c r="L276" s="3">
        <f t="shared" si="22"/>
        <v>7398.9999999999991</v>
      </c>
      <c r="M276" s="3">
        <f t="shared" si="23"/>
        <v>5500</v>
      </c>
      <c r="N276" s="3">
        <f t="shared" si="24"/>
        <v>1898.9999999999991</v>
      </c>
    </row>
    <row r="277" spans="4:14" x14ac:dyDescent="0.35">
      <c r="D277" s="1" t="s">
        <v>635</v>
      </c>
      <c r="E277" s="1" t="s">
        <v>897</v>
      </c>
      <c r="F277" t="s">
        <v>12</v>
      </c>
      <c r="G277" s="12">
        <v>279</v>
      </c>
      <c r="H277" s="3">
        <v>113</v>
      </c>
      <c r="I277" s="3">
        <f t="shared" si="20"/>
        <v>31527</v>
      </c>
      <c r="J277" s="3">
        <f t="shared" si="21"/>
        <v>152.99</v>
      </c>
      <c r="K277" s="88">
        <v>208</v>
      </c>
      <c r="L277" s="3">
        <f t="shared" si="22"/>
        <v>31821.920000000002</v>
      </c>
      <c r="M277" s="3">
        <f t="shared" si="23"/>
        <v>23504</v>
      </c>
      <c r="N277" s="3">
        <f t="shared" si="24"/>
        <v>8317.9200000000019</v>
      </c>
    </row>
    <row r="278" spans="4:14" x14ac:dyDescent="0.35">
      <c r="D278" s="1" t="s">
        <v>636</v>
      </c>
      <c r="E278" s="1" t="s">
        <v>885</v>
      </c>
      <c r="F278" t="s">
        <v>16</v>
      </c>
      <c r="G278" s="12">
        <v>439</v>
      </c>
      <c r="H278" s="3">
        <v>108</v>
      </c>
      <c r="I278" s="3">
        <f t="shared" si="20"/>
        <v>47412</v>
      </c>
      <c r="J278" s="3">
        <f t="shared" si="21"/>
        <v>145.99</v>
      </c>
      <c r="K278" s="88">
        <v>374</v>
      </c>
      <c r="L278" s="3">
        <f t="shared" si="22"/>
        <v>54600.26</v>
      </c>
      <c r="M278" s="3">
        <f t="shared" si="23"/>
        <v>40392</v>
      </c>
      <c r="N278" s="3">
        <f t="shared" si="24"/>
        <v>14208.260000000002</v>
      </c>
    </row>
    <row r="279" spans="4:14" x14ac:dyDescent="0.35">
      <c r="D279" s="1" t="s">
        <v>637</v>
      </c>
      <c r="E279" s="1" t="s">
        <v>711</v>
      </c>
      <c r="F279" t="s">
        <v>11</v>
      </c>
      <c r="G279" s="12">
        <v>498</v>
      </c>
      <c r="H279" s="3">
        <v>80</v>
      </c>
      <c r="I279" s="3">
        <f t="shared" si="20"/>
        <v>39840</v>
      </c>
      <c r="J279" s="3">
        <f t="shared" si="21"/>
        <v>107.99</v>
      </c>
      <c r="K279" s="88">
        <v>231</v>
      </c>
      <c r="L279" s="3">
        <f t="shared" si="22"/>
        <v>24945.69</v>
      </c>
      <c r="M279" s="3">
        <f t="shared" si="23"/>
        <v>18480</v>
      </c>
      <c r="N279" s="3">
        <f t="shared" si="24"/>
        <v>6465.6899999999987</v>
      </c>
    </row>
    <row r="280" spans="4:14" x14ac:dyDescent="0.35">
      <c r="D280" s="1" t="s">
        <v>638</v>
      </c>
      <c r="E280" s="1" t="s">
        <v>711</v>
      </c>
      <c r="F280" t="s">
        <v>14</v>
      </c>
      <c r="G280" s="12">
        <v>492</v>
      </c>
      <c r="H280" s="3">
        <v>17</v>
      </c>
      <c r="I280" s="3">
        <f t="shared" si="20"/>
        <v>8364</v>
      </c>
      <c r="J280" s="3">
        <f t="shared" si="21"/>
        <v>22.99</v>
      </c>
      <c r="K280" s="88">
        <v>313</v>
      </c>
      <c r="L280" s="3">
        <f t="shared" si="22"/>
        <v>7195.87</v>
      </c>
      <c r="M280" s="3">
        <f t="shared" si="23"/>
        <v>5321</v>
      </c>
      <c r="N280" s="3">
        <f t="shared" si="24"/>
        <v>1874.87</v>
      </c>
    </row>
    <row r="281" spans="4:14" x14ac:dyDescent="0.35">
      <c r="D281" s="1" t="s">
        <v>639</v>
      </c>
      <c r="E281" s="1" t="s">
        <v>711</v>
      </c>
      <c r="F281" t="s">
        <v>14</v>
      </c>
      <c r="G281" s="12">
        <v>183</v>
      </c>
      <c r="H281" s="3">
        <v>131</v>
      </c>
      <c r="I281" s="3">
        <f t="shared" si="20"/>
        <v>23973</v>
      </c>
      <c r="J281" s="3">
        <f t="shared" si="21"/>
        <v>176.99</v>
      </c>
      <c r="K281" s="88">
        <v>121</v>
      </c>
      <c r="L281" s="3">
        <f t="shared" si="22"/>
        <v>21415.79</v>
      </c>
      <c r="M281" s="3">
        <f t="shared" si="23"/>
        <v>15851</v>
      </c>
      <c r="N281" s="3">
        <f t="shared" si="24"/>
        <v>5564.7900000000009</v>
      </c>
    </row>
    <row r="282" spans="4:14" x14ac:dyDescent="0.35">
      <c r="D282" s="1" t="s">
        <v>640</v>
      </c>
      <c r="E282" s="1" t="s">
        <v>711</v>
      </c>
      <c r="F282" t="s">
        <v>12</v>
      </c>
      <c r="G282" s="12">
        <v>427</v>
      </c>
      <c r="H282" s="3">
        <v>34</v>
      </c>
      <c r="I282" s="3">
        <f t="shared" si="20"/>
        <v>14518</v>
      </c>
      <c r="J282" s="3">
        <f t="shared" si="21"/>
        <v>45.99</v>
      </c>
      <c r="K282" s="88">
        <v>315</v>
      </c>
      <c r="L282" s="3">
        <f t="shared" si="22"/>
        <v>14486.85</v>
      </c>
      <c r="M282" s="3">
        <f t="shared" si="23"/>
        <v>10710</v>
      </c>
      <c r="N282" s="3">
        <f t="shared" si="24"/>
        <v>3776.8500000000004</v>
      </c>
    </row>
    <row r="283" spans="4:14" x14ac:dyDescent="0.35">
      <c r="D283" s="1" t="s">
        <v>564</v>
      </c>
      <c r="E283" s="1" t="s">
        <v>901</v>
      </c>
      <c r="F283" t="s">
        <v>333</v>
      </c>
      <c r="G283" s="12">
        <v>197</v>
      </c>
      <c r="H283" s="3">
        <v>148</v>
      </c>
      <c r="I283" s="3">
        <f t="shared" si="20"/>
        <v>29156</v>
      </c>
      <c r="J283" s="3">
        <f t="shared" si="21"/>
        <v>199.99</v>
      </c>
      <c r="K283" s="88">
        <v>155</v>
      </c>
      <c r="L283" s="3">
        <f t="shared" si="22"/>
        <v>30998.45</v>
      </c>
      <c r="M283" s="3">
        <f t="shared" si="23"/>
        <v>22940</v>
      </c>
      <c r="N283" s="3">
        <f t="shared" si="24"/>
        <v>8058.4500000000007</v>
      </c>
    </row>
    <row r="284" spans="4:14" x14ac:dyDescent="0.35">
      <c r="D284" s="1" t="s">
        <v>629</v>
      </c>
      <c r="E284" s="1" t="s">
        <v>711</v>
      </c>
      <c r="F284" t="s">
        <v>11</v>
      </c>
      <c r="G284" s="12">
        <v>470</v>
      </c>
      <c r="H284" s="3">
        <v>18</v>
      </c>
      <c r="I284" s="3">
        <f t="shared" si="20"/>
        <v>8460</v>
      </c>
      <c r="J284" s="3">
        <f t="shared" si="21"/>
        <v>23.99</v>
      </c>
      <c r="K284" s="88">
        <v>459</v>
      </c>
      <c r="L284" s="3">
        <f t="shared" si="22"/>
        <v>11011.41</v>
      </c>
      <c r="M284" s="3">
        <f t="shared" si="23"/>
        <v>8262</v>
      </c>
      <c r="N284" s="3">
        <f t="shared" si="24"/>
        <v>2749.41</v>
      </c>
    </row>
    <row r="285" spans="4:14" x14ac:dyDescent="0.35">
      <c r="D285" s="1" t="s">
        <v>641</v>
      </c>
      <c r="E285" s="1" t="s">
        <v>885</v>
      </c>
      <c r="F285" t="s">
        <v>16</v>
      </c>
      <c r="G285" s="12">
        <v>333</v>
      </c>
      <c r="H285" s="3">
        <v>120</v>
      </c>
      <c r="I285" s="3">
        <f t="shared" si="20"/>
        <v>39960</v>
      </c>
      <c r="J285" s="3">
        <f t="shared" si="21"/>
        <v>161.99</v>
      </c>
      <c r="K285" s="88">
        <v>230</v>
      </c>
      <c r="L285" s="3">
        <f t="shared" si="22"/>
        <v>37257.700000000004</v>
      </c>
      <c r="M285" s="3">
        <f t="shared" si="23"/>
        <v>27600</v>
      </c>
      <c r="N285" s="3">
        <f t="shared" si="24"/>
        <v>9657.7000000000044</v>
      </c>
    </row>
    <row r="286" spans="4:14" x14ac:dyDescent="0.35">
      <c r="D286" s="1" t="s">
        <v>582</v>
      </c>
      <c r="E286" s="1" t="s">
        <v>711</v>
      </c>
      <c r="F286" t="s">
        <v>16</v>
      </c>
      <c r="G286" s="12">
        <v>287</v>
      </c>
      <c r="H286" s="3">
        <v>51</v>
      </c>
      <c r="I286" s="3">
        <f t="shared" si="20"/>
        <v>14637</v>
      </c>
      <c r="J286" s="3">
        <f t="shared" si="21"/>
        <v>68.989999999999995</v>
      </c>
      <c r="K286" s="88">
        <v>284</v>
      </c>
      <c r="L286" s="3">
        <f t="shared" si="22"/>
        <v>19593.16</v>
      </c>
      <c r="M286" s="3">
        <f t="shared" si="23"/>
        <v>14484</v>
      </c>
      <c r="N286" s="3">
        <f t="shared" si="24"/>
        <v>5109.16</v>
      </c>
    </row>
    <row r="287" spans="4:14" x14ac:dyDescent="0.35">
      <c r="D287" s="1" t="s">
        <v>642</v>
      </c>
      <c r="E287" s="1" t="s">
        <v>711</v>
      </c>
      <c r="F287" t="s">
        <v>12</v>
      </c>
      <c r="G287" s="12">
        <v>169</v>
      </c>
      <c r="H287" s="3">
        <v>135</v>
      </c>
      <c r="I287" s="3">
        <f t="shared" si="20"/>
        <v>22815</v>
      </c>
      <c r="J287" s="3">
        <f t="shared" si="21"/>
        <v>181.99</v>
      </c>
      <c r="K287" s="88">
        <v>149</v>
      </c>
      <c r="L287" s="3">
        <f t="shared" si="22"/>
        <v>27116.510000000002</v>
      </c>
      <c r="M287" s="3">
        <f t="shared" si="23"/>
        <v>20115</v>
      </c>
      <c r="N287" s="3">
        <f t="shared" si="24"/>
        <v>7001.510000000002</v>
      </c>
    </row>
    <row r="288" spans="4:14" x14ac:dyDescent="0.35">
      <c r="D288" s="1" t="s">
        <v>643</v>
      </c>
      <c r="E288" s="1" t="s">
        <v>712</v>
      </c>
      <c r="F288" t="s">
        <v>13</v>
      </c>
      <c r="G288" s="12">
        <v>496</v>
      </c>
      <c r="H288" s="3">
        <v>13</v>
      </c>
      <c r="I288" s="3">
        <f t="shared" si="20"/>
        <v>6448</v>
      </c>
      <c r="J288" s="3">
        <f t="shared" si="21"/>
        <v>17.989999999999998</v>
      </c>
      <c r="K288" s="88">
        <v>231</v>
      </c>
      <c r="L288" s="3">
        <f t="shared" si="22"/>
        <v>4155.6899999999996</v>
      </c>
      <c r="M288" s="3">
        <f t="shared" si="23"/>
        <v>3003</v>
      </c>
      <c r="N288" s="3">
        <f t="shared" si="24"/>
        <v>1152.6899999999996</v>
      </c>
    </row>
    <row r="289" spans="4:14" x14ac:dyDescent="0.35">
      <c r="D289" s="1" t="s">
        <v>644</v>
      </c>
      <c r="E289" s="1" t="s">
        <v>711</v>
      </c>
      <c r="F289" t="s">
        <v>15</v>
      </c>
      <c r="G289" s="12">
        <v>498</v>
      </c>
      <c r="H289" s="3">
        <v>105</v>
      </c>
      <c r="I289" s="3">
        <f t="shared" si="20"/>
        <v>52290</v>
      </c>
      <c r="J289" s="3">
        <f t="shared" si="21"/>
        <v>141.99</v>
      </c>
      <c r="K289" s="88">
        <v>110</v>
      </c>
      <c r="L289" s="3">
        <f t="shared" si="22"/>
        <v>15618.900000000001</v>
      </c>
      <c r="M289" s="3">
        <f t="shared" si="23"/>
        <v>11550</v>
      </c>
      <c r="N289" s="3">
        <f t="shared" si="24"/>
        <v>4068.9000000000015</v>
      </c>
    </row>
    <row r="290" spans="4:14" x14ac:dyDescent="0.35">
      <c r="D290" s="1" t="s">
        <v>645</v>
      </c>
      <c r="E290" s="1" t="s">
        <v>894</v>
      </c>
      <c r="F290" t="s">
        <v>10</v>
      </c>
      <c r="G290" s="12">
        <v>335</v>
      </c>
      <c r="H290" s="3">
        <v>28</v>
      </c>
      <c r="I290" s="3">
        <f t="shared" si="20"/>
        <v>9380</v>
      </c>
      <c r="J290" s="3">
        <f t="shared" si="21"/>
        <v>37.99</v>
      </c>
      <c r="K290" s="88">
        <v>268</v>
      </c>
      <c r="L290" s="3">
        <f t="shared" si="22"/>
        <v>10181.32</v>
      </c>
      <c r="M290" s="3">
        <f t="shared" si="23"/>
        <v>7504</v>
      </c>
      <c r="N290" s="3">
        <f t="shared" si="24"/>
        <v>2677.3199999999997</v>
      </c>
    </row>
    <row r="291" spans="4:14" x14ac:dyDescent="0.35">
      <c r="D291" s="1" t="s">
        <v>646</v>
      </c>
      <c r="E291" s="1" t="s">
        <v>891</v>
      </c>
      <c r="F291" t="s">
        <v>16</v>
      </c>
      <c r="G291" s="12">
        <v>383</v>
      </c>
      <c r="H291" s="3">
        <v>90</v>
      </c>
      <c r="I291" s="3">
        <f t="shared" si="20"/>
        <v>34470</v>
      </c>
      <c r="J291" s="3">
        <f t="shared" si="21"/>
        <v>121.99</v>
      </c>
      <c r="K291" s="88">
        <v>258</v>
      </c>
      <c r="L291" s="3">
        <f t="shared" si="22"/>
        <v>31473.42</v>
      </c>
      <c r="M291" s="3">
        <f t="shared" si="23"/>
        <v>23220</v>
      </c>
      <c r="N291" s="3">
        <f t="shared" si="24"/>
        <v>8253.4199999999983</v>
      </c>
    </row>
    <row r="292" spans="4:14" x14ac:dyDescent="0.35">
      <c r="D292" s="1" t="s">
        <v>647</v>
      </c>
      <c r="E292" s="1" t="s">
        <v>711</v>
      </c>
      <c r="F292" t="s">
        <v>9</v>
      </c>
      <c r="G292" s="12">
        <v>289</v>
      </c>
      <c r="H292" s="3">
        <v>42</v>
      </c>
      <c r="I292" s="3">
        <f t="shared" si="20"/>
        <v>12138</v>
      </c>
      <c r="J292" s="3">
        <f t="shared" si="21"/>
        <v>56.99</v>
      </c>
      <c r="K292" s="88">
        <v>164</v>
      </c>
      <c r="L292" s="3">
        <f t="shared" si="22"/>
        <v>9346.36</v>
      </c>
      <c r="M292" s="3">
        <f t="shared" si="23"/>
        <v>6888</v>
      </c>
      <c r="N292" s="3">
        <f t="shared" si="24"/>
        <v>2458.3600000000006</v>
      </c>
    </row>
    <row r="293" spans="4:14" x14ac:dyDescent="0.35">
      <c r="D293" s="1" t="s">
        <v>495</v>
      </c>
      <c r="E293" s="1" t="s">
        <v>711</v>
      </c>
      <c r="F293" t="s">
        <v>16</v>
      </c>
      <c r="G293" s="12">
        <v>107</v>
      </c>
      <c r="H293" s="3">
        <v>116</v>
      </c>
      <c r="I293" s="3">
        <f t="shared" si="20"/>
        <v>12412</v>
      </c>
      <c r="J293" s="3">
        <f t="shared" si="21"/>
        <v>156.99</v>
      </c>
      <c r="K293" s="88">
        <v>104</v>
      </c>
      <c r="L293" s="3">
        <f t="shared" si="22"/>
        <v>16326.960000000001</v>
      </c>
      <c r="M293" s="3">
        <f t="shared" si="23"/>
        <v>12064</v>
      </c>
      <c r="N293" s="3">
        <f t="shared" si="24"/>
        <v>4262.9600000000009</v>
      </c>
    </row>
    <row r="294" spans="4:14" x14ac:dyDescent="0.35">
      <c r="D294" s="1" t="s">
        <v>648</v>
      </c>
      <c r="E294" s="1" t="s">
        <v>885</v>
      </c>
      <c r="F294" t="s">
        <v>10</v>
      </c>
      <c r="G294" s="12">
        <v>383</v>
      </c>
      <c r="H294" s="3">
        <v>129</v>
      </c>
      <c r="I294" s="3">
        <f t="shared" si="20"/>
        <v>49407</v>
      </c>
      <c r="J294" s="3">
        <f t="shared" si="21"/>
        <v>173.99</v>
      </c>
      <c r="K294" s="88">
        <v>337</v>
      </c>
      <c r="L294" s="3">
        <f t="shared" si="22"/>
        <v>58634.630000000005</v>
      </c>
      <c r="M294" s="3">
        <f t="shared" si="23"/>
        <v>43473</v>
      </c>
      <c r="N294" s="3">
        <f t="shared" si="24"/>
        <v>15161.630000000005</v>
      </c>
    </row>
    <row r="295" spans="4:14" x14ac:dyDescent="0.35">
      <c r="D295" s="1" t="s">
        <v>521</v>
      </c>
      <c r="E295" s="1" t="s">
        <v>891</v>
      </c>
      <c r="F295" t="s">
        <v>12</v>
      </c>
      <c r="G295" s="12">
        <v>180</v>
      </c>
      <c r="H295" s="3">
        <v>142</v>
      </c>
      <c r="I295" s="3">
        <f t="shared" si="20"/>
        <v>25560</v>
      </c>
      <c r="J295" s="3">
        <f t="shared" si="21"/>
        <v>191.99</v>
      </c>
      <c r="K295" s="88">
        <v>167</v>
      </c>
      <c r="L295" s="3">
        <f t="shared" si="22"/>
        <v>32062.33</v>
      </c>
      <c r="M295" s="3">
        <f t="shared" si="23"/>
        <v>23714</v>
      </c>
      <c r="N295" s="3">
        <f t="shared" si="24"/>
        <v>8348.3300000000017</v>
      </c>
    </row>
    <row r="296" spans="4:14" x14ac:dyDescent="0.35">
      <c r="D296" s="1" t="s">
        <v>640</v>
      </c>
      <c r="E296" s="1" t="s">
        <v>711</v>
      </c>
      <c r="F296" t="s">
        <v>9</v>
      </c>
      <c r="G296" s="12">
        <v>168</v>
      </c>
      <c r="H296" s="3">
        <v>124</v>
      </c>
      <c r="I296" s="3">
        <f t="shared" si="20"/>
        <v>20832</v>
      </c>
      <c r="J296" s="3">
        <f t="shared" si="21"/>
        <v>166.99</v>
      </c>
      <c r="K296" s="88">
        <v>124</v>
      </c>
      <c r="L296" s="3">
        <f t="shared" si="22"/>
        <v>20706.760000000002</v>
      </c>
      <c r="M296" s="3">
        <f t="shared" si="23"/>
        <v>15376</v>
      </c>
      <c r="N296" s="3">
        <f t="shared" si="24"/>
        <v>5330.760000000002</v>
      </c>
    </row>
    <row r="297" spans="4:14" x14ac:dyDescent="0.35">
      <c r="D297" s="1" t="s">
        <v>649</v>
      </c>
      <c r="E297" s="1" t="s">
        <v>885</v>
      </c>
      <c r="F297" t="s">
        <v>9</v>
      </c>
      <c r="G297" s="12">
        <v>446</v>
      </c>
      <c r="H297" s="3">
        <v>84</v>
      </c>
      <c r="I297" s="3">
        <f t="shared" si="20"/>
        <v>37464</v>
      </c>
      <c r="J297" s="3">
        <f t="shared" si="21"/>
        <v>112.99</v>
      </c>
      <c r="K297" s="88">
        <v>193</v>
      </c>
      <c r="L297" s="3">
        <f t="shared" si="22"/>
        <v>21807.07</v>
      </c>
      <c r="M297" s="3">
        <f t="shared" si="23"/>
        <v>16212</v>
      </c>
      <c r="N297" s="3">
        <f t="shared" si="24"/>
        <v>5595.07</v>
      </c>
    </row>
    <row r="298" spans="4:14" x14ac:dyDescent="0.35">
      <c r="D298" s="1" t="s">
        <v>650</v>
      </c>
      <c r="E298" s="1" t="s">
        <v>711</v>
      </c>
      <c r="F298" t="s">
        <v>13</v>
      </c>
      <c r="G298" s="12">
        <v>260</v>
      </c>
      <c r="H298" s="3">
        <v>3</v>
      </c>
      <c r="I298" s="3">
        <f t="shared" si="20"/>
        <v>780</v>
      </c>
      <c r="J298" s="3">
        <f t="shared" si="21"/>
        <v>3.99</v>
      </c>
      <c r="K298" s="88">
        <v>240</v>
      </c>
      <c r="L298" s="3">
        <f t="shared" si="22"/>
        <v>957.6</v>
      </c>
      <c r="M298" s="3">
        <f t="shared" si="23"/>
        <v>720</v>
      </c>
      <c r="N298" s="3">
        <f t="shared" si="24"/>
        <v>237.60000000000002</v>
      </c>
    </row>
    <row r="299" spans="4:14" x14ac:dyDescent="0.35">
      <c r="D299" s="1" t="s">
        <v>651</v>
      </c>
      <c r="E299" s="1" t="s">
        <v>889</v>
      </c>
      <c r="F299" t="s">
        <v>17</v>
      </c>
      <c r="G299" s="12">
        <v>191</v>
      </c>
      <c r="H299" s="3">
        <v>129</v>
      </c>
      <c r="I299" s="3">
        <f t="shared" si="20"/>
        <v>24639</v>
      </c>
      <c r="J299" s="3">
        <f t="shared" si="21"/>
        <v>173.99</v>
      </c>
      <c r="K299" s="88">
        <v>100</v>
      </c>
      <c r="L299" s="3">
        <f t="shared" si="22"/>
        <v>17399</v>
      </c>
      <c r="M299" s="3">
        <f t="shared" si="23"/>
        <v>12900</v>
      </c>
      <c r="N299" s="3">
        <f t="shared" si="24"/>
        <v>4499</v>
      </c>
    </row>
    <row r="300" spans="4:14" x14ac:dyDescent="0.35">
      <c r="D300" s="1" t="s">
        <v>652</v>
      </c>
      <c r="E300" s="1" t="s">
        <v>711</v>
      </c>
      <c r="F300" t="s">
        <v>10</v>
      </c>
      <c r="G300" s="12">
        <v>438</v>
      </c>
      <c r="H300" s="3">
        <v>81</v>
      </c>
      <c r="I300" s="3">
        <f t="shared" si="20"/>
        <v>35478</v>
      </c>
      <c r="J300" s="3">
        <f t="shared" si="21"/>
        <v>108.99</v>
      </c>
      <c r="K300" s="88">
        <v>101</v>
      </c>
      <c r="L300" s="3">
        <f t="shared" si="22"/>
        <v>11007.99</v>
      </c>
      <c r="M300" s="3">
        <f t="shared" si="23"/>
        <v>8181</v>
      </c>
      <c r="N300" s="3">
        <f t="shared" si="24"/>
        <v>2826.99</v>
      </c>
    </row>
    <row r="301" spans="4:14" x14ac:dyDescent="0.35">
      <c r="D301" s="1" t="s">
        <v>653</v>
      </c>
      <c r="E301" s="1" t="s">
        <v>888</v>
      </c>
      <c r="F301" t="s">
        <v>9</v>
      </c>
      <c r="G301" s="12">
        <v>323</v>
      </c>
      <c r="H301" s="3">
        <v>114</v>
      </c>
      <c r="I301" s="3">
        <f t="shared" si="20"/>
        <v>36822</v>
      </c>
      <c r="J301" s="3">
        <f t="shared" si="21"/>
        <v>153.99</v>
      </c>
      <c r="K301" s="88">
        <v>206</v>
      </c>
      <c r="L301" s="3">
        <f t="shared" si="22"/>
        <v>31721.940000000002</v>
      </c>
      <c r="M301" s="3">
        <f t="shared" si="23"/>
        <v>23484</v>
      </c>
      <c r="N301" s="3">
        <f t="shared" si="24"/>
        <v>8237.9400000000023</v>
      </c>
    </row>
    <row r="302" spans="4:14" x14ac:dyDescent="0.35">
      <c r="D302" s="1" t="s">
        <v>654</v>
      </c>
      <c r="E302" s="1" t="s">
        <v>885</v>
      </c>
      <c r="F302" t="s">
        <v>333</v>
      </c>
      <c r="G302" s="12">
        <v>285</v>
      </c>
      <c r="H302" s="3">
        <v>122</v>
      </c>
      <c r="I302" s="3">
        <f t="shared" si="20"/>
        <v>34770</v>
      </c>
      <c r="J302" s="3">
        <f t="shared" si="21"/>
        <v>164.99</v>
      </c>
      <c r="K302" s="88">
        <v>155</v>
      </c>
      <c r="L302" s="3">
        <f t="shared" si="22"/>
        <v>25573.45</v>
      </c>
      <c r="M302" s="3">
        <f t="shared" si="23"/>
        <v>18910</v>
      </c>
      <c r="N302" s="3">
        <f t="shared" si="24"/>
        <v>6663.4500000000007</v>
      </c>
    </row>
    <row r="303" spans="4:14" x14ac:dyDescent="0.35">
      <c r="D303" s="1" t="s">
        <v>655</v>
      </c>
      <c r="E303" s="1" t="s">
        <v>904</v>
      </c>
      <c r="F303" t="s">
        <v>17</v>
      </c>
      <c r="G303" s="12">
        <v>489</v>
      </c>
      <c r="H303" s="3">
        <v>115</v>
      </c>
      <c r="I303" s="3">
        <f t="shared" si="20"/>
        <v>56235</v>
      </c>
      <c r="J303" s="3">
        <f t="shared" si="21"/>
        <v>154.99</v>
      </c>
      <c r="K303" s="88">
        <v>237</v>
      </c>
      <c r="L303" s="3">
        <f t="shared" si="22"/>
        <v>36732.630000000005</v>
      </c>
      <c r="M303" s="3">
        <f t="shared" si="23"/>
        <v>27255</v>
      </c>
      <c r="N303" s="3">
        <f t="shared" si="24"/>
        <v>9477.6300000000047</v>
      </c>
    </row>
    <row r="304" spans="4:14" x14ac:dyDescent="0.35">
      <c r="D304" s="1" t="s">
        <v>656</v>
      </c>
      <c r="E304" s="1" t="s">
        <v>888</v>
      </c>
      <c r="F304" t="s">
        <v>15</v>
      </c>
      <c r="G304" s="12">
        <v>269</v>
      </c>
      <c r="H304" s="3">
        <v>128</v>
      </c>
      <c r="I304" s="3">
        <f t="shared" si="20"/>
        <v>34432</v>
      </c>
      <c r="J304" s="3">
        <f t="shared" si="21"/>
        <v>172.99</v>
      </c>
      <c r="K304" s="88">
        <v>113</v>
      </c>
      <c r="L304" s="3">
        <f t="shared" si="22"/>
        <v>19547.870000000003</v>
      </c>
      <c r="M304" s="3">
        <f t="shared" si="23"/>
        <v>14464</v>
      </c>
      <c r="N304" s="3">
        <f t="shared" si="24"/>
        <v>5083.8700000000026</v>
      </c>
    </row>
    <row r="305" spans="4:14" x14ac:dyDescent="0.35">
      <c r="D305" s="1" t="s">
        <v>657</v>
      </c>
      <c r="E305" s="1" t="s">
        <v>711</v>
      </c>
      <c r="F305" t="s">
        <v>14</v>
      </c>
      <c r="G305" s="12">
        <v>150</v>
      </c>
      <c r="H305" s="3">
        <v>32</v>
      </c>
      <c r="I305" s="3">
        <f t="shared" si="20"/>
        <v>4800</v>
      </c>
      <c r="J305" s="3">
        <f t="shared" si="21"/>
        <v>42.99</v>
      </c>
      <c r="K305" s="88">
        <v>126</v>
      </c>
      <c r="L305" s="3">
        <f t="shared" si="22"/>
        <v>5416.7400000000007</v>
      </c>
      <c r="M305" s="3">
        <f t="shared" si="23"/>
        <v>4032</v>
      </c>
      <c r="N305" s="3">
        <f t="shared" si="24"/>
        <v>1384.7400000000007</v>
      </c>
    </row>
    <row r="306" spans="4:14" x14ac:dyDescent="0.35">
      <c r="D306" s="1" t="s">
        <v>658</v>
      </c>
      <c r="E306" s="1" t="s">
        <v>711</v>
      </c>
      <c r="F306" t="s">
        <v>11</v>
      </c>
      <c r="G306" s="12">
        <v>102</v>
      </c>
      <c r="H306" s="3">
        <v>76</v>
      </c>
      <c r="I306" s="3">
        <f t="shared" si="20"/>
        <v>7752</v>
      </c>
      <c r="J306" s="3">
        <f t="shared" si="21"/>
        <v>102.99</v>
      </c>
      <c r="K306" s="88">
        <v>100</v>
      </c>
      <c r="L306" s="3">
        <f t="shared" si="22"/>
        <v>10299</v>
      </c>
      <c r="M306" s="3">
        <f t="shared" si="23"/>
        <v>7600</v>
      </c>
      <c r="N306" s="3">
        <f t="shared" si="24"/>
        <v>2699</v>
      </c>
    </row>
    <row r="307" spans="4:14" x14ac:dyDescent="0.35">
      <c r="D307" s="1" t="s">
        <v>659</v>
      </c>
      <c r="E307" s="1" t="s">
        <v>907</v>
      </c>
      <c r="F307" t="s">
        <v>15</v>
      </c>
      <c r="G307" s="12">
        <v>153</v>
      </c>
      <c r="H307" s="3">
        <v>92</v>
      </c>
      <c r="I307" s="3">
        <f t="shared" si="20"/>
        <v>14076</v>
      </c>
      <c r="J307" s="3">
        <f t="shared" si="21"/>
        <v>123.99</v>
      </c>
      <c r="K307" s="88">
        <v>145</v>
      </c>
      <c r="L307" s="3">
        <f t="shared" si="22"/>
        <v>17978.55</v>
      </c>
      <c r="M307" s="3">
        <f t="shared" si="23"/>
        <v>13340</v>
      </c>
      <c r="N307" s="3">
        <f t="shared" si="24"/>
        <v>4638.5499999999993</v>
      </c>
    </row>
    <row r="308" spans="4:14" x14ac:dyDescent="0.35">
      <c r="D308" s="1" t="s">
        <v>660</v>
      </c>
      <c r="E308" s="1" t="s">
        <v>711</v>
      </c>
      <c r="F308" t="s">
        <v>14</v>
      </c>
      <c r="G308" s="12">
        <v>116</v>
      </c>
      <c r="H308" s="3">
        <v>130</v>
      </c>
      <c r="I308" s="3">
        <f t="shared" si="20"/>
        <v>15080</v>
      </c>
      <c r="J308" s="3">
        <f t="shared" si="21"/>
        <v>175.99</v>
      </c>
      <c r="K308" s="88">
        <v>109</v>
      </c>
      <c r="L308" s="3">
        <f t="shared" si="22"/>
        <v>19182.91</v>
      </c>
      <c r="M308" s="3">
        <f t="shared" si="23"/>
        <v>14170</v>
      </c>
      <c r="N308" s="3">
        <f t="shared" si="24"/>
        <v>5012.91</v>
      </c>
    </row>
    <row r="309" spans="4:14" x14ac:dyDescent="0.35">
      <c r="D309" s="1" t="s">
        <v>661</v>
      </c>
      <c r="E309" s="1" t="s">
        <v>889</v>
      </c>
      <c r="F309" t="s">
        <v>11</v>
      </c>
      <c r="G309" s="12">
        <v>495</v>
      </c>
      <c r="H309" s="3">
        <v>149</v>
      </c>
      <c r="I309" s="3">
        <f t="shared" ref="I309:I372" si="25">G309*H309</f>
        <v>73755</v>
      </c>
      <c r="J309" s="3">
        <f t="shared" si="21"/>
        <v>200.99</v>
      </c>
      <c r="K309" s="88">
        <v>489</v>
      </c>
      <c r="L309" s="3">
        <f t="shared" si="22"/>
        <v>98284.11</v>
      </c>
      <c r="M309" s="3">
        <f t="shared" si="23"/>
        <v>72861</v>
      </c>
      <c r="N309" s="3">
        <f t="shared" si="24"/>
        <v>25423.11</v>
      </c>
    </row>
    <row r="310" spans="4:14" x14ac:dyDescent="0.35">
      <c r="D310" s="1" t="s">
        <v>425</v>
      </c>
      <c r="E310" s="1" t="s">
        <v>887</v>
      </c>
      <c r="F310" t="s">
        <v>11</v>
      </c>
      <c r="G310" s="12">
        <v>366</v>
      </c>
      <c r="H310" s="3">
        <v>110</v>
      </c>
      <c r="I310" s="3">
        <f t="shared" si="25"/>
        <v>40260</v>
      </c>
      <c r="J310" s="3">
        <f t="shared" si="21"/>
        <v>148.99</v>
      </c>
      <c r="K310" s="88">
        <v>184</v>
      </c>
      <c r="L310" s="3">
        <f t="shared" si="22"/>
        <v>27414.160000000003</v>
      </c>
      <c r="M310" s="3">
        <f t="shared" si="23"/>
        <v>20240</v>
      </c>
      <c r="N310" s="3">
        <f t="shared" si="24"/>
        <v>7174.1600000000035</v>
      </c>
    </row>
    <row r="311" spans="4:14" x14ac:dyDescent="0.35">
      <c r="D311" s="1" t="s">
        <v>662</v>
      </c>
      <c r="E311" s="1" t="s">
        <v>908</v>
      </c>
      <c r="F311" t="s">
        <v>13</v>
      </c>
      <c r="G311" s="12">
        <v>217</v>
      </c>
      <c r="H311" s="3">
        <v>70</v>
      </c>
      <c r="I311" s="3">
        <f t="shared" si="25"/>
        <v>15190</v>
      </c>
      <c r="J311" s="3">
        <f t="shared" si="21"/>
        <v>94.99</v>
      </c>
      <c r="K311" s="88">
        <v>199</v>
      </c>
      <c r="L311" s="3">
        <f t="shared" si="22"/>
        <v>18903.009999999998</v>
      </c>
      <c r="M311" s="3">
        <f t="shared" si="23"/>
        <v>13930</v>
      </c>
      <c r="N311" s="3">
        <f t="shared" si="24"/>
        <v>4973.0099999999984</v>
      </c>
    </row>
    <row r="312" spans="4:14" x14ac:dyDescent="0.35">
      <c r="D312" s="1" t="s">
        <v>663</v>
      </c>
      <c r="E312" s="1" t="s">
        <v>887</v>
      </c>
      <c r="F312" t="s">
        <v>16</v>
      </c>
      <c r="G312" s="12">
        <v>108</v>
      </c>
      <c r="H312" s="3">
        <v>135</v>
      </c>
      <c r="I312" s="3">
        <f t="shared" si="25"/>
        <v>14580</v>
      </c>
      <c r="J312" s="3">
        <f t="shared" si="21"/>
        <v>181.99</v>
      </c>
      <c r="K312" s="88">
        <v>100</v>
      </c>
      <c r="L312" s="3">
        <f t="shared" si="22"/>
        <v>18199</v>
      </c>
      <c r="M312" s="3">
        <f t="shared" si="23"/>
        <v>13500</v>
      </c>
      <c r="N312" s="3">
        <f t="shared" si="24"/>
        <v>4699</v>
      </c>
    </row>
    <row r="313" spans="4:14" x14ac:dyDescent="0.35">
      <c r="D313" s="1" t="s">
        <v>664</v>
      </c>
      <c r="E313" s="1" t="s">
        <v>885</v>
      </c>
      <c r="F313" t="s">
        <v>16</v>
      </c>
      <c r="G313" s="12">
        <v>478</v>
      </c>
      <c r="H313" s="3">
        <v>150</v>
      </c>
      <c r="I313" s="3">
        <f t="shared" si="25"/>
        <v>71700</v>
      </c>
      <c r="J313" s="3">
        <f t="shared" si="21"/>
        <v>202.99</v>
      </c>
      <c r="K313" s="88">
        <v>158</v>
      </c>
      <c r="L313" s="3">
        <f t="shared" si="22"/>
        <v>32072.420000000002</v>
      </c>
      <c r="M313" s="3">
        <f t="shared" si="23"/>
        <v>23700</v>
      </c>
      <c r="N313" s="3">
        <f t="shared" si="24"/>
        <v>8372.4200000000019</v>
      </c>
    </row>
    <row r="314" spans="4:14" x14ac:dyDescent="0.35">
      <c r="D314" s="1" t="s">
        <v>5</v>
      </c>
      <c r="E314" s="1" t="s">
        <v>712</v>
      </c>
      <c r="F314" t="s">
        <v>12</v>
      </c>
      <c r="G314" s="12">
        <v>472</v>
      </c>
      <c r="H314" s="3">
        <v>2</v>
      </c>
      <c r="I314" s="3">
        <f t="shared" si="25"/>
        <v>944</v>
      </c>
      <c r="J314" s="3">
        <f t="shared" si="21"/>
        <v>2.99</v>
      </c>
      <c r="K314" s="88">
        <v>322</v>
      </c>
      <c r="L314" s="3">
        <f t="shared" si="22"/>
        <v>962.78000000000009</v>
      </c>
      <c r="M314" s="3">
        <f t="shared" si="23"/>
        <v>644</v>
      </c>
      <c r="N314" s="3">
        <f t="shared" si="24"/>
        <v>318.78000000000009</v>
      </c>
    </row>
    <row r="315" spans="4:14" x14ac:dyDescent="0.35">
      <c r="D315" s="1" t="s">
        <v>665</v>
      </c>
      <c r="E315" s="1" t="s">
        <v>885</v>
      </c>
      <c r="F315" t="s">
        <v>12</v>
      </c>
      <c r="G315" s="12">
        <v>268</v>
      </c>
      <c r="H315" s="3">
        <v>111</v>
      </c>
      <c r="I315" s="3">
        <f t="shared" si="25"/>
        <v>29748</v>
      </c>
      <c r="J315" s="3">
        <f t="shared" si="21"/>
        <v>149.99</v>
      </c>
      <c r="K315" s="88">
        <v>260</v>
      </c>
      <c r="L315" s="3">
        <f t="shared" si="22"/>
        <v>38997.4</v>
      </c>
      <c r="M315" s="3">
        <f t="shared" si="23"/>
        <v>28860</v>
      </c>
      <c r="N315" s="3">
        <f t="shared" si="24"/>
        <v>10137.400000000001</v>
      </c>
    </row>
    <row r="316" spans="4:14" x14ac:dyDescent="0.35">
      <c r="D316" s="1" t="s">
        <v>666</v>
      </c>
      <c r="E316" s="1" t="s">
        <v>711</v>
      </c>
      <c r="F316" t="s">
        <v>15</v>
      </c>
      <c r="G316" s="12">
        <v>450</v>
      </c>
      <c r="H316" s="3">
        <v>43</v>
      </c>
      <c r="I316" s="3">
        <f t="shared" si="25"/>
        <v>19350</v>
      </c>
      <c r="J316" s="3">
        <f t="shared" si="21"/>
        <v>57.99</v>
      </c>
      <c r="K316" s="88">
        <v>371</v>
      </c>
      <c r="L316" s="3">
        <f t="shared" si="22"/>
        <v>21514.29</v>
      </c>
      <c r="M316" s="3">
        <f t="shared" si="23"/>
        <v>15953</v>
      </c>
      <c r="N316" s="3">
        <f t="shared" si="24"/>
        <v>5561.2900000000009</v>
      </c>
    </row>
    <row r="317" spans="4:14" x14ac:dyDescent="0.35">
      <c r="D317" s="1" t="s">
        <v>667</v>
      </c>
      <c r="E317" s="1" t="s">
        <v>711</v>
      </c>
      <c r="F317" t="s">
        <v>13</v>
      </c>
      <c r="G317" s="12">
        <v>321</v>
      </c>
      <c r="H317" s="3">
        <v>75</v>
      </c>
      <c r="I317" s="3">
        <f t="shared" si="25"/>
        <v>24075</v>
      </c>
      <c r="J317" s="3">
        <f t="shared" si="21"/>
        <v>100.99</v>
      </c>
      <c r="K317" s="88">
        <v>298</v>
      </c>
      <c r="L317" s="3">
        <f t="shared" si="22"/>
        <v>30095.019999999997</v>
      </c>
      <c r="M317" s="3">
        <f t="shared" si="23"/>
        <v>22350</v>
      </c>
      <c r="N317" s="3">
        <f t="shared" si="24"/>
        <v>7745.0199999999968</v>
      </c>
    </row>
    <row r="318" spans="4:14" x14ac:dyDescent="0.35">
      <c r="D318" s="1" t="s">
        <v>591</v>
      </c>
      <c r="E318" s="1" t="s">
        <v>711</v>
      </c>
      <c r="F318" t="s">
        <v>11</v>
      </c>
      <c r="G318" s="12">
        <v>234</v>
      </c>
      <c r="H318" s="3">
        <v>14</v>
      </c>
      <c r="I318" s="3">
        <f t="shared" si="25"/>
        <v>3276</v>
      </c>
      <c r="J318" s="3">
        <f t="shared" si="21"/>
        <v>18.989999999999998</v>
      </c>
      <c r="K318" s="88">
        <v>137</v>
      </c>
      <c r="L318" s="3">
        <f t="shared" si="22"/>
        <v>2601.6299999999997</v>
      </c>
      <c r="M318" s="3">
        <f t="shared" si="23"/>
        <v>1918</v>
      </c>
      <c r="N318" s="3">
        <f t="shared" si="24"/>
        <v>683.62999999999965</v>
      </c>
    </row>
    <row r="319" spans="4:14" x14ac:dyDescent="0.35">
      <c r="D319" s="1" t="s">
        <v>668</v>
      </c>
      <c r="E319" s="1" t="s">
        <v>885</v>
      </c>
      <c r="F319" t="s">
        <v>9</v>
      </c>
      <c r="G319" s="12">
        <v>209</v>
      </c>
      <c r="H319" s="3">
        <v>7</v>
      </c>
      <c r="I319" s="3">
        <f t="shared" si="25"/>
        <v>1463</v>
      </c>
      <c r="J319" s="3">
        <f t="shared" si="21"/>
        <v>8.99</v>
      </c>
      <c r="K319" s="88">
        <v>166</v>
      </c>
      <c r="L319" s="3">
        <f t="shared" si="22"/>
        <v>1492.3400000000001</v>
      </c>
      <c r="M319" s="3">
        <f t="shared" si="23"/>
        <v>1162</v>
      </c>
      <c r="N319" s="3">
        <f t="shared" si="24"/>
        <v>330.34000000000015</v>
      </c>
    </row>
    <row r="320" spans="4:14" x14ac:dyDescent="0.35">
      <c r="D320" s="1" t="s">
        <v>6</v>
      </c>
      <c r="E320" s="1" t="s">
        <v>712</v>
      </c>
      <c r="F320" t="s">
        <v>14</v>
      </c>
      <c r="G320" s="12">
        <v>354</v>
      </c>
      <c r="H320" s="3">
        <v>39</v>
      </c>
      <c r="I320" s="3">
        <f t="shared" si="25"/>
        <v>13806</v>
      </c>
      <c r="J320" s="3">
        <f t="shared" si="21"/>
        <v>52.99</v>
      </c>
      <c r="K320" s="88">
        <v>167</v>
      </c>
      <c r="L320" s="3">
        <f t="shared" si="22"/>
        <v>8849.33</v>
      </c>
      <c r="M320" s="3">
        <f t="shared" si="23"/>
        <v>6513</v>
      </c>
      <c r="N320" s="3">
        <f t="shared" si="24"/>
        <v>2336.33</v>
      </c>
    </row>
    <row r="321" spans="4:14" x14ac:dyDescent="0.35">
      <c r="D321" s="1" t="s">
        <v>426</v>
      </c>
      <c r="E321" s="1" t="s">
        <v>711</v>
      </c>
      <c r="F321" t="s">
        <v>16</v>
      </c>
      <c r="G321" s="12">
        <v>397</v>
      </c>
      <c r="H321" s="3">
        <v>40</v>
      </c>
      <c r="I321" s="3">
        <f t="shared" si="25"/>
        <v>15880</v>
      </c>
      <c r="J321" s="3">
        <f t="shared" si="21"/>
        <v>53.99</v>
      </c>
      <c r="K321" s="88">
        <v>164</v>
      </c>
      <c r="L321" s="3">
        <f t="shared" si="22"/>
        <v>8854.36</v>
      </c>
      <c r="M321" s="3">
        <f t="shared" si="23"/>
        <v>6560</v>
      </c>
      <c r="N321" s="3">
        <f t="shared" si="24"/>
        <v>2294.3600000000006</v>
      </c>
    </row>
    <row r="322" spans="4:14" x14ac:dyDescent="0.35">
      <c r="D322" s="1" t="s">
        <v>669</v>
      </c>
      <c r="E322" s="1" t="s">
        <v>885</v>
      </c>
      <c r="F322" t="s">
        <v>16</v>
      </c>
      <c r="G322" s="12">
        <v>451</v>
      </c>
      <c r="H322" s="3">
        <v>80</v>
      </c>
      <c r="I322" s="3">
        <f t="shared" si="25"/>
        <v>36080</v>
      </c>
      <c r="J322" s="3">
        <f t="shared" si="21"/>
        <v>107.99</v>
      </c>
      <c r="K322" s="88">
        <v>129</v>
      </c>
      <c r="L322" s="3">
        <f t="shared" si="22"/>
        <v>13930.71</v>
      </c>
      <c r="M322" s="3">
        <f t="shared" si="23"/>
        <v>10320</v>
      </c>
      <c r="N322" s="3">
        <f t="shared" si="24"/>
        <v>3610.7099999999991</v>
      </c>
    </row>
    <row r="323" spans="4:14" x14ac:dyDescent="0.35">
      <c r="D323" s="1" t="s">
        <v>670</v>
      </c>
      <c r="E323" s="1" t="s">
        <v>885</v>
      </c>
      <c r="F323" t="s">
        <v>12</v>
      </c>
      <c r="G323" s="12">
        <v>391</v>
      </c>
      <c r="H323" s="3">
        <v>29</v>
      </c>
      <c r="I323" s="3">
        <f t="shared" si="25"/>
        <v>11339</v>
      </c>
      <c r="J323" s="3">
        <f t="shared" si="21"/>
        <v>38.99</v>
      </c>
      <c r="K323" s="88">
        <v>249</v>
      </c>
      <c r="L323" s="3">
        <f t="shared" si="22"/>
        <v>9708.51</v>
      </c>
      <c r="M323" s="3">
        <f t="shared" si="23"/>
        <v>7221</v>
      </c>
      <c r="N323" s="3">
        <f t="shared" si="24"/>
        <v>2487.5100000000002</v>
      </c>
    </row>
    <row r="324" spans="4:14" x14ac:dyDescent="0.35">
      <c r="D324" s="1" t="s">
        <v>671</v>
      </c>
      <c r="E324" s="1" t="s">
        <v>889</v>
      </c>
      <c r="F324" t="s">
        <v>13</v>
      </c>
      <c r="G324" s="12">
        <v>419</v>
      </c>
      <c r="H324" s="3">
        <v>22</v>
      </c>
      <c r="I324" s="3">
        <f t="shared" si="25"/>
        <v>9218</v>
      </c>
      <c r="J324" s="3">
        <f t="shared" si="21"/>
        <v>29.99</v>
      </c>
      <c r="K324" s="88">
        <v>116</v>
      </c>
      <c r="L324" s="3">
        <f t="shared" si="22"/>
        <v>3478.8399999999997</v>
      </c>
      <c r="M324" s="3">
        <f t="shared" si="23"/>
        <v>2552</v>
      </c>
      <c r="N324" s="3">
        <f t="shared" si="24"/>
        <v>926.83999999999969</v>
      </c>
    </row>
    <row r="325" spans="4:14" x14ac:dyDescent="0.35">
      <c r="D325" s="1" t="s">
        <v>491</v>
      </c>
      <c r="E325" s="1" t="s">
        <v>711</v>
      </c>
      <c r="F325" t="s">
        <v>14</v>
      </c>
      <c r="G325" s="12">
        <v>444</v>
      </c>
      <c r="H325" s="3">
        <v>144</v>
      </c>
      <c r="I325" s="3">
        <f t="shared" si="25"/>
        <v>63936</v>
      </c>
      <c r="J325" s="3">
        <f t="shared" si="21"/>
        <v>193.99</v>
      </c>
      <c r="K325" s="88">
        <v>172</v>
      </c>
      <c r="L325" s="3">
        <f t="shared" si="22"/>
        <v>33366.28</v>
      </c>
      <c r="M325" s="3">
        <f t="shared" si="23"/>
        <v>24768</v>
      </c>
      <c r="N325" s="3">
        <f t="shared" si="24"/>
        <v>8598.2799999999988</v>
      </c>
    </row>
    <row r="326" spans="4:14" x14ac:dyDescent="0.35">
      <c r="D326" s="1" t="s">
        <v>672</v>
      </c>
      <c r="E326" s="1" t="s">
        <v>889</v>
      </c>
      <c r="F326" t="s">
        <v>14</v>
      </c>
      <c r="G326" s="12">
        <v>485</v>
      </c>
      <c r="H326" s="3">
        <v>30</v>
      </c>
      <c r="I326" s="3">
        <f t="shared" si="25"/>
        <v>14550</v>
      </c>
      <c r="J326" s="3">
        <f t="shared" ref="J326:J389" si="26">ROUND((H326*35%)+H326,0)-0.01</f>
        <v>40.99</v>
      </c>
      <c r="K326" s="88">
        <v>153</v>
      </c>
      <c r="L326" s="3">
        <f t="shared" ref="L326:L389" si="27">K326*J326</f>
        <v>6271.47</v>
      </c>
      <c r="M326" s="3">
        <f t="shared" ref="M326:M389" si="28">H326*K326</f>
        <v>4590</v>
      </c>
      <c r="N326" s="3">
        <f t="shared" ref="N326:N389" si="29">L326-M326</f>
        <v>1681.4700000000003</v>
      </c>
    </row>
    <row r="327" spans="4:14" x14ac:dyDescent="0.35">
      <c r="D327" s="1" t="s">
        <v>633</v>
      </c>
      <c r="E327" s="1" t="s">
        <v>712</v>
      </c>
      <c r="F327" t="s">
        <v>17</v>
      </c>
      <c r="G327" s="12">
        <v>371</v>
      </c>
      <c r="H327" s="3">
        <v>61</v>
      </c>
      <c r="I327" s="3">
        <f t="shared" si="25"/>
        <v>22631</v>
      </c>
      <c r="J327" s="3">
        <f t="shared" si="26"/>
        <v>81.99</v>
      </c>
      <c r="K327" s="88">
        <v>367</v>
      </c>
      <c r="L327" s="3">
        <f t="shared" si="27"/>
        <v>30090.329999999998</v>
      </c>
      <c r="M327" s="3">
        <f t="shared" si="28"/>
        <v>22387</v>
      </c>
      <c r="N327" s="3">
        <f t="shared" si="29"/>
        <v>7703.3299999999981</v>
      </c>
    </row>
    <row r="328" spans="4:14" x14ac:dyDescent="0.35">
      <c r="D328" s="1" t="s">
        <v>673</v>
      </c>
      <c r="E328" s="1" t="s">
        <v>711</v>
      </c>
      <c r="F328" t="s">
        <v>14</v>
      </c>
      <c r="G328" s="12">
        <v>326</v>
      </c>
      <c r="H328" s="3">
        <v>82</v>
      </c>
      <c r="I328" s="3">
        <f t="shared" si="25"/>
        <v>26732</v>
      </c>
      <c r="J328" s="3">
        <f t="shared" si="26"/>
        <v>110.99</v>
      </c>
      <c r="K328" s="88">
        <v>315</v>
      </c>
      <c r="L328" s="3">
        <f t="shared" si="27"/>
        <v>34961.85</v>
      </c>
      <c r="M328" s="3">
        <f t="shared" si="28"/>
        <v>25830</v>
      </c>
      <c r="N328" s="3">
        <f t="shared" si="29"/>
        <v>9131.8499999999985</v>
      </c>
    </row>
    <row r="329" spans="4:14" x14ac:dyDescent="0.35">
      <c r="D329" s="1" t="s">
        <v>496</v>
      </c>
      <c r="E329" s="1" t="s">
        <v>711</v>
      </c>
      <c r="F329" t="s">
        <v>11</v>
      </c>
      <c r="G329" s="12">
        <v>389</v>
      </c>
      <c r="H329" s="3">
        <v>87</v>
      </c>
      <c r="I329" s="3">
        <f t="shared" si="25"/>
        <v>33843</v>
      </c>
      <c r="J329" s="3">
        <f t="shared" si="26"/>
        <v>116.99</v>
      </c>
      <c r="K329" s="88">
        <v>213</v>
      </c>
      <c r="L329" s="3">
        <f t="shared" si="27"/>
        <v>24918.87</v>
      </c>
      <c r="M329" s="3">
        <f t="shared" si="28"/>
        <v>18531</v>
      </c>
      <c r="N329" s="3">
        <f t="shared" si="29"/>
        <v>6387.869999999999</v>
      </c>
    </row>
    <row r="330" spans="4:14" x14ac:dyDescent="0.35">
      <c r="D330" s="1" t="s">
        <v>674</v>
      </c>
      <c r="E330" s="1" t="s">
        <v>886</v>
      </c>
      <c r="F330" t="s">
        <v>11</v>
      </c>
      <c r="G330" s="12">
        <v>327</v>
      </c>
      <c r="H330" s="3">
        <v>6</v>
      </c>
      <c r="I330" s="3">
        <f t="shared" si="25"/>
        <v>1962</v>
      </c>
      <c r="J330" s="3">
        <f t="shared" si="26"/>
        <v>7.99</v>
      </c>
      <c r="K330" s="88">
        <v>145</v>
      </c>
      <c r="L330" s="3">
        <f t="shared" si="27"/>
        <v>1158.55</v>
      </c>
      <c r="M330" s="3">
        <f t="shared" si="28"/>
        <v>870</v>
      </c>
      <c r="N330" s="3">
        <f t="shared" si="29"/>
        <v>288.54999999999995</v>
      </c>
    </row>
    <row r="331" spans="4:14" x14ac:dyDescent="0.35">
      <c r="D331" s="1" t="s">
        <v>448</v>
      </c>
      <c r="E331" s="1" t="s">
        <v>711</v>
      </c>
      <c r="F331" t="s">
        <v>11</v>
      </c>
      <c r="G331" s="12">
        <v>389</v>
      </c>
      <c r="H331" s="3">
        <v>66</v>
      </c>
      <c r="I331" s="3">
        <f t="shared" si="25"/>
        <v>25674</v>
      </c>
      <c r="J331" s="3">
        <f t="shared" si="26"/>
        <v>88.99</v>
      </c>
      <c r="K331" s="88">
        <v>127</v>
      </c>
      <c r="L331" s="3">
        <f t="shared" si="27"/>
        <v>11301.73</v>
      </c>
      <c r="M331" s="3">
        <f t="shared" si="28"/>
        <v>8382</v>
      </c>
      <c r="N331" s="3">
        <f t="shared" si="29"/>
        <v>2919.7299999999996</v>
      </c>
    </row>
    <row r="332" spans="4:14" x14ac:dyDescent="0.35">
      <c r="D332" s="1" t="s">
        <v>515</v>
      </c>
      <c r="E332" s="1" t="s">
        <v>711</v>
      </c>
      <c r="F332" t="s">
        <v>17</v>
      </c>
      <c r="G332" s="12">
        <v>254</v>
      </c>
      <c r="H332" s="3">
        <v>79</v>
      </c>
      <c r="I332" s="3">
        <f t="shared" si="25"/>
        <v>20066</v>
      </c>
      <c r="J332" s="3">
        <f t="shared" si="26"/>
        <v>106.99</v>
      </c>
      <c r="K332" s="88">
        <v>215</v>
      </c>
      <c r="L332" s="3">
        <f t="shared" si="27"/>
        <v>23002.85</v>
      </c>
      <c r="M332" s="3">
        <f t="shared" si="28"/>
        <v>16985</v>
      </c>
      <c r="N332" s="3">
        <f t="shared" si="29"/>
        <v>6017.8499999999985</v>
      </c>
    </row>
    <row r="333" spans="4:14" x14ac:dyDescent="0.35">
      <c r="D333" s="1" t="s">
        <v>675</v>
      </c>
      <c r="E333" s="1" t="s">
        <v>711</v>
      </c>
      <c r="F333" t="s">
        <v>17</v>
      </c>
      <c r="G333" s="12">
        <v>270</v>
      </c>
      <c r="H333" s="3">
        <v>124</v>
      </c>
      <c r="I333" s="3">
        <f t="shared" si="25"/>
        <v>33480</v>
      </c>
      <c r="J333" s="3">
        <f t="shared" si="26"/>
        <v>166.99</v>
      </c>
      <c r="K333" s="88">
        <v>229</v>
      </c>
      <c r="L333" s="3">
        <f t="shared" si="27"/>
        <v>38240.71</v>
      </c>
      <c r="M333" s="3">
        <f t="shared" si="28"/>
        <v>28396</v>
      </c>
      <c r="N333" s="3">
        <f t="shared" si="29"/>
        <v>9844.7099999999991</v>
      </c>
    </row>
    <row r="334" spans="4:14" x14ac:dyDescent="0.35">
      <c r="D334" s="1" t="s">
        <v>663</v>
      </c>
      <c r="E334" s="1" t="s">
        <v>887</v>
      </c>
      <c r="F334" t="s">
        <v>11</v>
      </c>
      <c r="G334" s="12">
        <v>351</v>
      </c>
      <c r="H334" s="3">
        <v>38</v>
      </c>
      <c r="I334" s="3">
        <f t="shared" si="25"/>
        <v>13338</v>
      </c>
      <c r="J334" s="3">
        <f t="shared" si="26"/>
        <v>50.99</v>
      </c>
      <c r="K334" s="88">
        <v>202</v>
      </c>
      <c r="L334" s="3">
        <f t="shared" si="27"/>
        <v>10299.98</v>
      </c>
      <c r="M334" s="3">
        <f t="shared" si="28"/>
        <v>7676</v>
      </c>
      <c r="N334" s="3">
        <f t="shared" si="29"/>
        <v>2623.9799999999996</v>
      </c>
    </row>
    <row r="335" spans="4:14" x14ac:dyDescent="0.35">
      <c r="D335" s="1" t="s">
        <v>676</v>
      </c>
      <c r="E335" s="1" t="s">
        <v>887</v>
      </c>
      <c r="F335" t="s">
        <v>14</v>
      </c>
      <c r="G335" s="12">
        <v>266</v>
      </c>
      <c r="H335" s="3">
        <v>32</v>
      </c>
      <c r="I335" s="3">
        <f t="shared" si="25"/>
        <v>8512</v>
      </c>
      <c r="J335" s="3">
        <f t="shared" si="26"/>
        <v>42.99</v>
      </c>
      <c r="K335" s="88">
        <v>213</v>
      </c>
      <c r="L335" s="3">
        <f t="shared" si="27"/>
        <v>9156.8700000000008</v>
      </c>
      <c r="M335" s="3">
        <f t="shared" si="28"/>
        <v>6816</v>
      </c>
      <c r="N335" s="3">
        <f t="shared" si="29"/>
        <v>2340.8700000000008</v>
      </c>
    </row>
    <row r="336" spans="4:14" x14ac:dyDescent="0.35">
      <c r="D336" s="1" t="s">
        <v>677</v>
      </c>
      <c r="E336" s="1" t="s">
        <v>711</v>
      </c>
      <c r="F336" t="s">
        <v>14</v>
      </c>
      <c r="G336" s="12">
        <v>249</v>
      </c>
      <c r="H336" s="3">
        <v>40</v>
      </c>
      <c r="I336" s="3">
        <f t="shared" si="25"/>
        <v>9960</v>
      </c>
      <c r="J336" s="3">
        <f t="shared" si="26"/>
        <v>53.99</v>
      </c>
      <c r="K336" s="88">
        <v>103</v>
      </c>
      <c r="L336" s="3">
        <f t="shared" si="27"/>
        <v>5560.97</v>
      </c>
      <c r="M336" s="3">
        <f t="shared" si="28"/>
        <v>4120</v>
      </c>
      <c r="N336" s="3">
        <f t="shared" si="29"/>
        <v>1440.9700000000003</v>
      </c>
    </row>
    <row r="337" spans="4:14" x14ac:dyDescent="0.35">
      <c r="D337" s="1" t="s">
        <v>678</v>
      </c>
      <c r="E337" s="1" t="s">
        <v>711</v>
      </c>
      <c r="F337" t="s">
        <v>15</v>
      </c>
      <c r="G337" s="12">
        <v>274</v>
      </c>
      <c r="H337" s="3">
        <v>106</v>
      </c>
      <c r="I337" s="3">
        <f t="shared" si="25"/>
        <v>29044</v>
      </c>
      <c r="J337" s="3">
        <f t="shared" si="26"/>
        <v>142.99</v>
      </c>
      <c r="K337" s="88">
        <v>193</v>
      </c>
      <c r="L337" s="3">
        <f t="shared" si="27"/>
        <v>27597.070000000003</v>
      </c>
      <c r="M337" s="3">
        <f t="shared" si="28"/>
        <v>20458</v>
      </c>
      <c r="N337" s="3">
        <f t="shared" si="29"/>
        <v>7139.0700000000033</v>
      </c>
    </row>
    <row r="338" spans="4:14" x14ac:dyDescent="0.35">
      <c r="D338" s="1" t="s">
        <v>562</v>
      </c>
      <c r="E338" s="1" t="s">
        <v>711</v>
      </c>
      <c r="F338" t="s">
        <v>333</v>
      </c>
      <c r="G338" s="12">
        <v>128</v>
      </c>
      <c r="H338" s="3">
        <v>56</v>
      </c>
      <c r="I338" s="3">
        <f t="shared" si="25"/>
        <v>7168</v>
      </c>
      <c r="J338" s="3">
        <f t="shared" si="26"/>
        <v>75.989999999999995</v>
      </c>
      <c r="K338" s="88">
        <v>118</v>
      </c>
      <c r="L338" s="3">
        <f t="shared" si="27"/>
        <v>8966.82</v>
      </c>
      <c r="M338" s="3">
        <f t="shared" si="28"/>
        <v>6608</v>
      </c>
      <c r="N338" s="3">
        <f t="shared" si="29"/>
        <v>2358.8199999999997</v>
      </c>
    </row>
    <row r="339" spans="4:14" x14ac:dyDescent="0.35">
      <c r="D339" s="1" t="s">
        <v>426</v>
      </c>
      <c r="E339" s="1" t="s">
        <v>711</v>
      </c>
      <c r="F339" t="s">
        <v>10</v>
      </c>
      <c r="G339" s="12">
        <v>138</v>
      </c>
      <c r="H339" s="3">
        <v>55</v>
      </c>
      <c r="I339" s="3">
        <f t="shared" si="25"/>
        <v>7590</v>
      </c>
      <c r="J339" s="3">
        <f t="shared" si="26"/>
        <v>73.989999999999995</v>
      </c>
      <c r="K339" s="88">
        <v>106</v>
      </c>
      <c r="L339" s="3">
        <f t="shared" si="27"/>
        <v>7842.94</v>
      </c>
      <c r="M339" s="3">
        <f t="shared" si="28"/>
        <v>5830</v>
      </c>
      <c r="N339" s="3">
        <f t="shared" si="29"/>
        <v>2012.9399999999996</v>
      </c>
    </row>
    <row r="340" spans="4:14" x14ac:dyDescent="0.35">
      <c r="D340" s="1" t="s">
        <v>611</v>
      </c>
      <c r="E340" s="1" t="s">
        <v>894</v>
      </c>
      <c r="F340" t="s">
        <v>10</v>
      </c>
      <c r="G340" s="12">
        <v>277</v>
      </c>
      <c r="H340" s="3">
        <v>101</v>
      </c>
      <c r="I340" s="3">
        <f t="shared" si="25"/>
        <v>27977</v>
      </c>
      <c r="J340" s="3">
        <f t="shared" si="26"/>
        <v>135.99</v>
      </c>
      <c r="K340" s="88">
        <v>189</v>
      </c>
      <c r="L340" s="3">
        <f t="shared" si="27"/>
        <v>25702.11</v>
      </c>
      <c r="M340" s="3">
        <f t="shared" si="28"/>
        <v>19089</v>
      </c>
      <c r="N340" s="3">
        <f t="shared" si="29"/>
        <v>6613.1100000000006</v>
      </c>
    </row>
    <row r="341" spans="4:14" x14ac:dyDescent="0.35">
      <c r="D341" s="1" t="s">
        <v>679</v>
      </c>
      <c r="E341" s="1" t="s">
        <v>885</v>
      </c>
      <c r="F341" t="s">
        <v>9</v>
      </c>
      <c r="G341" s="12">
        <v>187</v>
      </c>
      <c r="H341" s="3">
        <v>80</v>
      </c>
      <c r="I341" s="3">
        <f t="shared" si="25"/>
        <v>14960</v>
      </c>
      <c r="J341" s="3">
        <f t="shared" si="26"/>
        <v>107.99</v>
      </c>
      <c r="K341" s="88">
        <v>171</v>
      </c>
      <c r="L341" s="3">
        <f t="shared" si="27"/>
        <v>18466.29</v>
      </c>
      <c r="M341" s="3">
        <f t="shared" si="28"/>
        <v>13680</v>
      </c>
      <c r="N341" s="3">
        <f t="shared" si="29"/>
        <v>4786.2900000000009</v>
      </c>
    </row>
    <row r="342" spans="4:14" x14ac:dyDescent="0.35">
      <c r="D342" s="1" t="s">
        <v>7</v>
      </c>
      <c r="E342" s="1" t="s">
        <v>711</v>
      </c>
      <c r="F342" t="s">
        <v>12</v>
      </c>
      <c r="G342" s="12">
        <v>181</v>
      </c>
      <c r="H342" s="3">
        <v>98</v>
      </c>
      <c r="I342" s="3">
        <f t="shared" si="25"/>
        <v>17738</v>
      </c>
      <c r="J342" s="3">
        <f t="shared" si="26"/>
        <v>131.99</v>
      </c>
      <c r="K342" s="88">
        <v>162</v>
      </c>
      <c r="L342" s="3">
        <f t="shared" si="27"/>
        <v>21382.38</v>
      </c>
      <c r="M342" s="3">
        <f t="shared" si="28"/>
        <v>15876</v>
      </c>
      <c r="N342" s="3">
        <f t="shared" si="29"/>
        <v>5506.380000000001</v>
      </c>
    </row>
    <row r="343" spans="4:14" x14ac:dyDescent="0.35">
      <c r="D343" s="1" t="s">
        <v>512</v>
      </c>
      <c r="E343" s="1" t="s">
        <v>711</v>
      </c>
      <c r="F343" t="s">
        <v>13</v>
      </c>
      <c r="G343" s="12">
        <v>200</v>
      </c>
      <c r="H343" s="3">
        <v>77</v>
      </c>
      <c r="I343" s="3">
        <f t="shared" si="25"/>
        <v>15400</v>
      </c>
      <c r="J343" s="3">
        <f t="shared" si="26"/>
        <v>103.99</v>
      </c>
      <c r="K343" s="88">
        <v>158</v>
      </c>
      <c r="L343" s="3">
        <f t="shared" si="27"/>
        <v>16430.419999999998</v>
      </c>
      <c r="M343" s="3">
        <f t="shared" si="28"/>
        <v>12166</v>
      </c>
      <c r="N343" s="3">
        <f t="shared" si="29"/>
        <v>4264.4199999999983</v>
      </c>
    </row>
    <row r="344" spans="4:14" x14ac:dyDescent="0.35">
      <c r="D344" s="1" t="s">
        <v>680</v>
      </c>
      <c r="E344" s="1" t="s">
        <v>889</v>
      </c>
      <c r="F344" t="s">
        <v>333</v>
      </c>
      <c r="G344" s="12">
        <v>420</v>
      </c>
      <c r="H344" s="3">
        <v>99</v>
      </c>
      <c r="I344" s="3">
        <f t="shared" si="25"/>
        <v>41580</v>
      </c>
      <c r="J344" s="3">
        <f t="shared" si="26"/>
        <v>133.99</v>
      </c>
      <c r="K344" s="88">
        <v>275</v>
      </c>
      <c r="L344" s="3">
        <f t="shared" si="27"/>
        <v>36847.25</v>
      </c>
      <c r="M344" s="3">
        <f t="shared" si="28"/>
        <v>27225</v>
      </c>
      <c r="N344" s="3">
        <f t="shared" si="29"/>
        <v>9622.25</v>
      </c>
    </row>
    <row r="345" spans="4:14" x14ac:dyDescent="0.35">
      <c r="D345" s="1" t="s">
        <v>681</v>
      </c>
      <c r="E345" s="1" t="s">
        <v>885</v>
      </c>
      <c r="F345" t="s">
        <v>9</v>
      </c>
      <c r="G345" s="12">
        <v>238</v>
      </c>
      <c r="H345" s="3">
        <v>71</v>
      </c>
      <c r="I345" s="3">
        <f t="shared" si="25"/>
        <v>16898</v>
      </c>
      <c r="J345" s="3">
        <f t="shared" si="26"/>
        <v>95.99</v>
      </c>
      <c r="K345" s="88">
        <v>190</v>
      </c>
      <c r="L345" s="3">
        <f t="shared" si="27"/>
        <v>18238.099999999999</v>
      </c>
      <c r="M345" s="3">
        <f t="shared" si="28"/>
        <v>13490</v>
      </c>
      <c r="N345" s="3">
        <f t="shared" si="29"/>
        <v>4748.0999999999985</v>
      </c>
    </row>
    <row r="346" spans="4:14" x14ac:dyDescent="0.35">
      <c r="D346" s="1" t="s">
        <v>682</v>
      </c>
      <c r="E346" s="1" t="s">
        <v>711</v>
      </c>
      <c r="F346" t="s">
        <v>12</v>
      </c>
      <c r="G346" s="12">
        <v>280</v>
      </c>
      <c r="H346" s="3">
        <v>143</v>
      </c>
      <c r="I346" s="3">
        <f t="shared" si="25"/>
        <v>40040</v>
      </c>
      <c r="J346" s="3">
        <f t="shared" si="26"/>
        <v>192.99</v>
      </c>
      <c r="K346" s="88">
        <v>218</v>
      </c>
      <c r="L346" s="3">
        <f t="shared" si="27"/>
        <v>42071.82</v>
      </c>
      <c r="M346" s="3">
        <f t="shared" si="28"/>
        <v>31174</v>
      </c>
      <c r="N346" s="3">
        <f t="shared" si="29"/>
        <v>10897.82</v>
      </c>
    </row>
    <row r="347" spans="4:14" x14ac:dyDescent="0.35">
      <c r="D347" s="1" t="s">
        <v>683</v>
      </c>
      <c r="E347" s="1" t="s">
        <v>712</v>
      </c>
      <c r="F347" t="s">
        <v>10</v>
      </c>
      <c r="G347" s="12">
        <v>344</v>
      </c>
      <c r="H347" s="3">
        <v>134</v>
      </c>
      <c r="I347" s="3">
        <f t="shared" si="25"/>
        <v>46096</v>
      </c>
      <c r="J347" s="3">
        <f t="shared" si="26"/>
        <v>180.99</v>
      </c>
      <c r="K347" s="88">
        <v>174</v>
      </c>
      <c r="L347" s="3">
        <f t="shared" si="27"/>
        <v>31492.260000000002</v>
      </c>
      <c r="M347" s="3">
        <f t="shared" si="28"/>
        <v>23316</v>
      </c>
      <c r="N347" s="3">
        <f t="shared" si="29"/>
        <v>8176.260000000002</v>
      </c>
    </row>
    <row r="348" spans="4:14" x14ac:dyDescent="0.35">
      <c r="D348" s="1" t="s">
        <v>684</v>
      </c>
      <c r="E348" s="1" t="s">
        <v>900</v>
      </c>
      <c r="F348" t="s">
        <v>14</v>
      </c>
      <c r="G348" s="12">
        <v>323</v>
      </c>
      <c r="H348" s="3">
        <v>143</v>
      </c>
      <c r="I348" s="3">
        <f t="shared" si="25"/>
        <v>46189</v>
      </c>
      <c r="J348" s="3">
        <f t="shared" si="26"/>
        <v>192.99</v>
      </c>
      <c r="K348" s="88">
        <v>258</v>
      </c>
      <c r="L348" s="3">
        <f t="shared" si="27"/>
        <v>49791.420000000006</v>
      </c>
      <c r="M348" s="3">
        <f t="shared" si="28"/>
        <v>36894</v>
      </c>
      <c r="N348" s="3">
        <f t="shared" si="29"/>
        <v>12897.420000000006</v>
      </c>
    </row>
    <row r="349" spans="4:14" x14ac:dyDescent="0.35">
      <c r="D349" s="1" t="s">
        <v>685</v>
      </c>
      <c r="E349" s="1" t="s">
        <v>711</v>
      </c>
      <c r="F349" t="s">
        <v>333</v>
      </c>
      <c r="G349" s="12">
        <v>216</v>
      </c>
      <c r="H349" s="3">
        <v>95</v>
      </c>
      <c r="I349" s="3">
        <f t="shared" si="25"/>
        <v>20520</v>
      </c>
      <c r="J349" s="3">
        <f t="shared" si="26"/>
        <v>127.99</v>
      </c>
      <c r="K349" s="88">
        <v>124</v>
      </c>
      <c r="L349" s="3">
        <f t="shared" si="27"/>
        <v>15870.76</v>
      </c>
      <c r="M349" s="3">
        <f t="shared" si="28"/>
        <v>11780</v>
      </c>
      <c r="N349" s="3">
        <f t="shared" si="29"/>
        <v>4090.76</v>
      </c>
    </row>
    <row r="350" spans="4:14" x14ac:dyDescent="0.35">
      <c r="D350" s="1" t="s">
        <v>686</v>
      </c>
      <c r="E350" s="1" t="s">
        <v>711</v>
      </c>
      <c r="F350" t="s">
        <v>9</v>
      </c>
      <c r="G350" s="12">
        <v>351</v>
      </c>
      <c r="H350" s="3">
        <v>40</v>
      </c>
      <c r="I350" s="3">
        <f t="shared" si="25"/>
        <v>14040</v>
      </c>
      <c r="J350" s="3">
        <f t="shared" si="26"/>
        <v>53.99</v>
      </c>
      <c r="K350" s="88">
        <v>105</v>
      </c>
      <c r="L350" s="3">
        <f t="shared" si="27"/>
        <v>5668.95</v>
      </c>
      <c r="M350" s="3">
        <f t="shared" si="28"/>
        <v>4200</v>
      </c>
      <c r="N350" s="3">
        <f t="shared" si="29"/>
        <v>1468.9499999999998</v>
      </c>
    </row>
    <row r="351" spans="4:14" x14ac:dyDescent="0.35">
      <c r="D351" s="1" t="s">
        <v>687</v>
      </c>
      <c r="E351" s="1" t="s">
        <v>711</v>
      </c>
      <c r="F351" t="s">
        <v>13</v>
      </c>
      <c r="G351" s="12">
        <v>304</v>
      </c>
      <c r="H351" s="3">
        <v>50</v>
      </c>
      <c r="I351" s="3">
        <f t="shared" si="25"/>
        <v>15200</v>
      </c>
      <c r="J351" s="3">
        <f t="shared" si="26"/>
        <v>67.989999999999995</v>
      </c>
      <c r="K351" s="88">
        <v>222</v>
      </c>
      <c r="L351" s="3">
        <f t="shared" si="27"/>
        <v>15093.779999999999</v>
      </c>
      <c r="M351" s="3">
        <f t="shared" si="28"/>
        <v>11100</v>
      </c>
      <c r="N351" s="3">
        <f t="shared" si="29"/>
        <v>3993.7799999999988</v>
      </c>
    </row>
    <row r="352" spans="4:14" x14ac:dyDescent="0.35">
      <c r="D352" s="1" t="s">
        <v>688</v>
      </c>
      <c r="E352" s="1" t="s">
        <v>909</v>
      </c>
      <c r="F352" t="s">
        <v>14</v>
      </c>
      <c r="G352" s="12">
        <v>218</v>
      </c>
      <c r="H352" s="3">
        <v>126</v>
      </c>
      <c r="I352" s="3">
        <f t="shared" si="25"/>
        <v>27468</v>
      </c>
      <c r="J352" s="3">
        <f t="shared" si="26"/>
        <v>169.99</v>
      </c>
      <c r="K352" s="88">
        <v>145</v>
      </c>
      <c r="L352" s="3">
        <f t="shared" si="27"/>
        <v>24648.550000000003</v>
      </c>
      <c r="M352" s="3">
        <f t="shared" si="28"/>
        <v>18270</v>
      </c>
      <c r="N352" s="3">
        <f t="shared" si="29"/>
        <v>6378.5500000000029</v>
      </c>
    </row>
    <row r="353" spans="4:14" x14ac:dyDescent="0.35">
      <c r="D353" s="1" t="s">
        <v>623</v>
      </c>
      <c r="E353" s="1" t="s">
        <v>711</v>
      </c>
      <c r="F353" t="s">
        <v>17</v>
      </c>
      <c r="G353" s="12">
        <v>186</v>
      </c>
      <c r="H353" s="3">
        <v>79</v>
      </c>
      <c r="I353" s="3">
        <f t="shared" si="25"/>
        <v>14694</v>
      </c>
      <c r="J353" s="3">
        <f t="shared" si="26"/>
        <v>106.99</v>
      </c>
      <c r="K353" s="88">
        <v>159</v>
      </c>
      <c r="L353" s="3">
        <f t="shared" si="27"/>
        <v>17011.41</v>
      </c>
      <c r="M353" s="3">
        <f t="shared" si="28"/>
        <v>12561</v>
      </c>
      <c r="N353" s="3">
        <f t="shared" si="29"/>
        <v>4450.41</v>
      </c>
    </row>
    <row r="354" spans="4:14" x14ac:dyDescent="0.35">
      <c r="D354" s="1" t="s">
        <v>633</v>
      </c>
      <c r="E354" s="1" t="s">
        <v>711</v>
      </c>
      <c r="F354" t="s">
        <v>11</v>
      </c>
      <c r="G354" s="12">
        <v>177</v>
      </c>
      <c r="H354" s="3">
        <v>37</v>
      </c>
      <c r="I354" s="3">
        <f t="shared" si="25"/>
        <v>6549</v>
      </c>
      <c r="J354" s="3">
        <f t="shared" si="26"/>
        <v>49.99</v>
      </c>
      <c r="K354" s="88">
        <v>155</v>
      </c>
      <c r="L354" s="3">
        <f t="shared" si="27"/>
        <v>7748.4500000000007</v>
      </c>
      <c r="M354" s="3">
        <f t="shared" si="28"/>
        <v>5735</v>
      </c>
      <c r="N354" s="3">
        <f t="shared" si="29"/>
        <v>2013.4500000000007</v>
      </c>
    </row>
    <row r="355" spans="4:14" x14ac:dyDescent="0.35">
      <c r="D355" s="1" t="s">
        <v>689</v>
      </c>
      <c r="E355" s="1" t="s">
        <v>711</v>
      </c>
      <c r="F355" t="s">
        <v>10</v>
      </c>
      <c r="G355" s="12">
        <v>179</v>
      </c>
      <c r="H355" s="3">
        <v>31</v>
      </c>
      <c r="I355" s="3">
        <f t="shared" si="25"/>
        <v>5549</v>
      </c>
      <c r="J355" s="3">
        <f t="shared" si="26"/>
        <v>41.99</v>
      </c>
      <c r="K355" s="88">
        <v>120</v>
      </c>
      <c r="L355" s="3">
        <f t="shared" si="27"/>
        <v>5038.8</v>
      </c>
      <c r="M355" s="3">
        <f t="shared" si="28"/>
        <v>3720</v>
      </c>
      <c r="N355" s="3">
        <f t="shared" si="29"/>
        <v>1318.8000000000002</v>
      </c>
    </row>
    <row r="356" spans="4:14" x14ac:dyDescent="0.35">
      <c r="D356" s="1" t="s">
        <v>690</v>
      </c>
      <c r="E356" s="1" t="s">
        <v>885</v>
      </c>
      <c r="F356" t="s">
        <v>10</v>
      </c>
      <c r="G356" s="12">
        <v>451</v>
      </c>
      <c r="H356" s="3">
        <v>140</v>
      </c>
      <c r="I356" s="3">
        <f t="shared" si="25"/>
        <v>63140</v>
      </c>
      <c r="J356" s="3">
        <f t="shared" si="26"/>
        <v>188.99</v>
      </c>
      <c r="K356" s="88">
        <v>206</v>
      </c>
      <c r="L356" s="3">
        <f t="shared" si="27"/>
        <v>38931.94</v>
      </c>
      <c r="M356" s="3">
        <f t="shared" si="28"/>
        <v>28840</v>
      </c>
      <c r="N356" s="3">
        <f t="shared" si="29"/>
        <v>10091.940000000002</v>
      </c>
    </row>
    <row r="357" spans="4:14" x14ac:dyDescent="0.35">
      <c r="D357" s="1" t="s">
        <v>691</v>
      </c>
      <c r="E357" s="1" t="s">
        <v>711</v>
      </c>
      <c r="F357" t="s">
        <v>333</v>
      </c>
      <c r="G357" s="12">
        <v>445</v>
      </c>
      <c r="H357" s="3">
        <v>130</v>
      </c>
      <c r="I357" s="3">
        <f t="shared" si="25"/>
        <v>57850</v>
      </c>
      <c r="J357" s="3">
        <f t="shared" si="26"/>
        <v>175.99</v>
      </c>
      <c r="K357" s="88">
        <v>186</v>
      </c>
      <c r="L357" s="3">
        <f t="shared" si="27"/>
        <v>32734.140000000003</v>
      </c>
      <c r="M357" s="3">
        <f t="shared" si="28"/>
        <v>24180</v>
      </c>
      <c r="N357" s="3">
        <f t="shared" si="29"/>
        <v>8554.1400000000031</v>
      </c>
    </row>
    <row r="358" spans="4:14" x14ac:dyDescent="0.35">
      <c r="D358" s="1" t="s">
        <v>452</v>
      </c>
      <c r="E358" s="1" t="s">
        <v>711</v>
      </c>
      <c r="F358" t="s">
        <v>17</v>
      </c>
      <c r="G358" s="12">
        <v>468</v>
      </c>
      <c r="H358" s="3">
        <v>68</v>
      </c>
      <c r="I358" s="3">
        <f t="shared" si="25"/>
        <v>31824</v>
      </c>
      <c r="J358" s="3">
        <f t="shared" si="26"/>
        <v>91.99</v>
      </c>
      <c r="K358" s="88">
        <v>436</v>
      </c>
      <c r="L358" s="3">
        <f t="shared" si="27"/>
        <v>40107.64</v>
      </c>
      <c r="M358" s="3">
        <f t="shared" si="28"/>
        <v>29648</v>
      </c>
      <c r="N358" s="3">
        <f t="shared" si="29"/>
        <v>10459.64</v>
      </c>
    </row>
    <row r="359" spans="4:14" x14ac:dyDescent="0.35">
      <c r="D359" s="1" t="s">
        <v>692</v>
      </c>
      <c r="E359" s="1" t="s">
        <v>885</v>
      </c>
      <c r="F359" t="s">
        <v>13</v>
      </c>
      <c r="G359" s="12">
        <v>320</v>
      </c>
      <c r="H359" s="3">
        <v>80</v>
      </c>
      <c r="I359" s="3">
        <f t="shared" si="25"/>
        <v>25600</v>
      </c>
      <c r="J359" s="3">
        <f t="shared" si="26"/>
        <v>107.99</v>
      </c>
      <c r="K359" s="88">
        <v>143</v>
      </c>
      <c r="L359" s="3">
        <f t="shared" si="27"/>
        <v>15442.57</v>
      </c>
      <c r="M359" s="3">
        <f t="shared" si="28"/>
        <v>11440</v>
      </c>
      <c r="N359" s="3">
        <f t="shared" si="29"/>
        <v>4002.5699999999997</v>
      </c>
    </row>
    <row r="360" spans="4:14" x14ac:dyDescent="0.35">
      <c r="D360" s="1" t="s">
        <v>693</v>
      </c>
      <c r="E360" s="1" t="s">
        <v>889</v>
      </c>
      <c r="F360" t="s">
        <v>333</v>
      </c>
      <c r="G360" s="12">
        <v>366</v>
      </c>
      <c r="H360" s="3">
        <v>86</v>
      </c>
      <c r="I360" s="3">
        <f t="shared" si="25"/>
        <v>31476</v>
      </c>
      <c r="J360" s="3">
        <f t="shared" si="26"/>
        <v>115.99</v>
      </c>
      <c r="K360" s="88">
        <v>163</v>
      </c>
      <c r="L360" s="3">
        <f t="shared" si="27"/>
        <v>18906.37</v>
      </c>
      <c r="M360" s="3">
        <f t="shared" si="28"/>
        <v>14018</v>
      </c>
      <c r="N360" s="3">
        <f t="shared" si="29"/>
        <v>4888.369999999999</v>
      </c>
    </row>
    <row r="361" spans="4:14" x14ac:dyDescent="0.35">
      <c r="D361" s="1" t="s">
        <v>573</v>
      </c>
      <c r="E361" s="1" t="s">
        <v>711</v>
      </c>
      <c r="F361" t="s">
        <v>9</v>
      </c>
      <c r="G361" s="12">
        <v>375</v>
      </c>
      <c r="H361" s="3">
        <v>3</v>
      </c>
      <c r="I361" s="3">
        <f t="shared" si="25"/>
        <v>1125</v>
      </c>
      <c r="J361" s="3">
        <f t="shared" si="26"/>
        <v>3.99</v>
      </c>
      <c r="K361" s="88">
        <v>250</v>
      </c>
      <c r="L361" s="3">
        <f t="shared" si="27"/>
        <v>997.5</v>
      </c>
      <c r="M361" s="3">
        <f t="shared" si="28"/>
        <v>750</v>
      </c>
      <c r="N361" s="3">
        <f t="shared" si="29"/>
        <v>247.5</v>
      </c>
    </row>
    <row r="362" spans="4:14" x14ac:dyDescent="0.35">
      <c r="D362" s="1" t="s">
        <v>694</v>
      </c>
      <c r="E362" s="1" t="s">
        <v>904</v>
      </c>
      <c r="F362" t="s">
        <v>11</v>
      </c>
      <c r="G362" s="12">
        <v>334</v>
      </c>
      <c r="H362" s="3">
        <v>9</v>
      </c>
      <c r="I362" s="3">
        <f t="shared" si="25"/>
        <v>3006</v>
      </c>
      <c r="J362" s="3">
        <f t="shared" si="26"/>
        <v>11.99</v>
      </c>
      <c r="K362" s="88">
        <v>195</v>
      </c>
      <c r="L362" s="3">
        <f t="shared" si="27"/>
        <v>2338.0500000000002</v>
      </c>
      <c r="M362" s="3">
        <f t="shared" si="28"/>
        <v>1755</v>
      </c>
      <c r="N362" s="3">
        <f t="shared" si="29"/>
        <v>583.05000000000018</v>
      </c>
    </row>
    <row r="363" spans="4:14" x14ac:dyDescent="0.35">
      <c r="D363" s="1" t="s">
        <v>695</v>
      </c>
      <c r="E363" s="1" t="s">
        <v>885</v>
      </c>
      <c r="F363" t="s">
        <v>17</v>
      </c>
      <c r="G363" s="12">
        <v>446</v>
      </c>
      <c r="H363" s="3">
        <v>123</v>
      </c>
      <c r="I363" s="3">
        <f t="shared" si="25"/>
        <v>54858</v>
      </c>
      <c r="J363" s="3">
        <f t="shared" si="26"/>
        <v>165.99</v>
      </c>
      <c r="K363" s="88">
        <v>413</v>
      </c>
      <c r="L363" s="3">
        <f t="shared" si="27"/>
        <v>68553.87000000001</v>
      </c>
      <c r="M363" s="3">
        <f t="shared" si="28"/>
        <v>50799</v>
      </c>
      <c r="N363" s="3">
        <f t="shared" si="29"/>
        <v>17754.87000000001</v>
      </c>
    </row>
    <row r="364" spans="4:14" x14ac:dyDescent="0.35">
      <c r="D364" s="1" t="s">
        <v>696</v>
      </c>
      <c r="E364" s="1" t="s">
        <v>712</v>
      </c>
      <c r="F364" t="s">
        <v>333</v>
      </c>
      <c r="G364" s="12">
        <v>489</v>
      </c>
      <c r="H364" s="3">
        <v>37</v>
      </c>
      <c r="I364" s="3">
        <f t="shared" si="25"/>
        <v>18093</v>
      </c>
      <c r="J364" s="3">
        <f t="shared" si="26"/>
        <v>49.99</v>
      </c>
      <c r="K364" s="88">
        <v>420</v>
      </c>
      <c r="L364" s="3">
        <f t="shared" si="27"/>
        <v>20995.8</v>
      </c>
      <c r="M364" s="3">
        <f t="shared" si="28"/>
        <v>15540</v>
      </c>
      <c r="N364" s="3">
        <f t="shared" si="29"/>
        <v>5455.7999999999993</v>
      </c>
    </row>
    <row r="365" spans="4:14" x14ac:dyDescent="0.35">
      <c r="D365" s="1" t="s">
        <v>697</v>
      </c>
      <c r="E365" s="1" t="s">
        <v>712</v>
      </c>
      <c r="F365" t="s">
        <v>12</v>
      </c>
      <c r="G365" s="12">
        <v>165</v>
      </c>
      <c r="H365" s="3">
        <v>32</v>
      </c>
      <c r="I365" s="3">
        <f t="shared" si="25"/>
        <v>5280</v>
      </c>
      <c r="J365" s="3">
        <f t="shared" si="26"/>
        <v>42.99</v>
      </c>
      <c r="K365" s="88">
        <v>162</v>
      </c>
      <c r="L365" s="3">
        <f t="shared" si="27"/>
        <v>6964.38</v>
      </c>
      <c r="M365" s="3">
        <f t="shared" si="28"/>
        <v>5184</v>
      </c>
      <c r="N365" s="3">
        <f t="shared" si="29"/>
        <v>1780.38</v>
      </c>
    </row>
    <row r="366" spans="4:14" x14ac:dyDescent="0.35">
      <c r="D366" s="1" t="s">
        <v>698</v>
      </c>
      <c r="E366" s="1" t="s">
        <v>711</v>
      </c>
      <c r="F366" t="s">
        <v>13</v>
      </c>
      <c r="G366" s="12">
        <v>495</v>
      </c>
      <c r="H366" s="3">
        <v>42</v>
      </c>
      <c r="I366" s="3">
        <f t="shared" si="25"/>
        <v>20790</v>
      </c>
      <c r="J366" s="3">
        <f t="shared" si="26"/>
        <v>56.99</v>
      </c>
      <c r="K366" s="88">
        <v>464</v>
      </c>
      <c r="L366" s="3">
        <f t="shared" si="27"/>
        <v>26443.360000000001</v>
      </c>
      <c r="M366" s="3">
        <f t="shared" si="28"/>
        <v>19488</v>
      </c>
      <c r="N366" s="3">
        <f t="shared" si="29"/>
        <v>6955.3600000000006</v>
      </c>
    </row>
    <row r="367" spans="4:14" x14ac:dyDescent="0.35">
      <c r="D367" s="1" t="s">
        <v>699</v>
      </c>
      <c r="E367" s="1" t="s">
        <v>889</v>
      </c>
      <c r="F367" t="s">
        <v>14</v>
      </c>
      <c r="G367" s="12">
        <v>316</v>
      </c>
      <c r="H367" s="3">
        <v>64</v>
      </c>
      <c r="I367" s="3">
        <f t="shared" si="25"/>
        <v>20224</v>
      </c>
      <c r="J367" s="3">
        <f t="shared" si="26"/>
        <v>85.99</v>
      </c>
      <c r="K367" s="88">
        <v>222</v>
      </c>
      <c r="L367" s="3">
        <f t="shared" si="27"/>
        <v>19089.78</v>
      </c>
      <c r="M367" s="3">
        <f t="shared" si="28"/>
        <v>14208</v>
      </c>
      <c r="N367" s="3">
        <f t="shared" si="29"/>
        <v>4881.7799999999988</v>
      </c>
    </row>
    <row r="368" spans="4:14" x14ac:dyDescent="0.35">
      <c r="D368" s="1" t="s">
        <v>700</v>
      </c>
      <c r="E368" s="1" t="s">
        <v>910</v>
      </c>
      <c r="F368" t="s">
        <v>15</v>
      </c>
      <c r="G368" s="12">
        <v>415</v>
      </c>
      <c r="H368" s="3">
        <v>126</v>
      </c>
      <c r="I368" s="3">
        <f t="shared" si="25"/>
        <v>52290</v>
      </c>
      <c r="J368" s="3">
        <f t="shared" si="26"/>
        <v>169.99</v>
      </c>
      <c r="K368" s="88">
        <v>345</v>
      </c>
      <c r="L368" s="3">
        <f t="shared" si="27"/>
        <v>58646.55</v>
      </c>
      <c r="M368" s="3">
        <f t="shared" si="28"/>
        <v>43470</v>
      </c>
      <c r="N368" s="3">
        <f t="shared" si="29"/>
        <v>15176.550000000003</v>
      </c>
    </row>
    <row r="369" spans="4:14" x14ac:dyDescent="0.35">
      <c r="D369" s="1" t="s">
        <v>701</v>
      </c>
      <c r="E369" s="1" t="s">
        <v>885</v>
      </c>
      <c r="F369" t="s">
        <v>12</v>
      </c>
      <c r="G369" s="12">
        <v>207</v>
      </c>
      <c r="H369" s="3">
        <v>69</v>
      </c>
      <c r="I369" s="3">
        <f t="shared" si="25"/>
        <v>14283</v>
      </c>
      <c r="J369" s="3">
        <f t="shared" si="26"/>
        <v>92.99</v>
      </c>
      <c r="K369" s="88">
        <v>164</v>
      </c>
      <c r="L369" s="3">
        <f t="shared" si="27"/>
        <v>15250.359999999999</v>
      </c>
      <c r="M369" s="3">
        <f t="shared" si="28"/>
        <v>11316</v>
      </c>
      <c r="N369" s="3">
        <f t="shared" si="29"/>
        <v>3934.3599999999988</v>
      </c>
    </row>
    <row r="370" spans="4:14" x14ac:dyDescent="0.35">
      <c r="D370" s="1" t="s">
        <v>509</v>
      </c>
      <c r="E370" s="1" t="s">
        <v>885</v>
      </c>
      <c r="F370" t="s">
        <v>333</v>
      </c>
      <c r="G370" s="12">
        <v>322</v>
      </c>
      <c r="H370" s="3">
        <v>97</v>
      </c>
      <c r="I370" s="3">
        <f t="shared" si="25"/>
        <v>31234</v>
      </c>
      <c r="J370" s="3">
        <f t="shared" si="26"/>
        <v>130.99</v>
      </c>
      <c r="K370" s="88">
        <v>312</v>
      </c>
      <c r="L370" s="3">
        <f t="shared" si="27"/>
        <v>40868.880000000005</v>
      </c>
      <c r="M370" s="3">
        <f t="shared" si="28"/>
        <v>30264</v>
      </c>
      <c r="N370" s="3">
        <f t="shared" si="29"/>
        <v>10604.880000000005</v>
      </c>
    </row>
    <row r="371" spans="4:14" x14ac:dyDescent="0.35">
      <c r="D371" s="1" t="s">
        <v>605</v>
      </c>
      <c r="E371" s="1" t="s">
        <v>711</v>
      </c>
      <c r="F371" t="s">
        <v>13</v>
      </c>
      <c r="G371" s="12">
        <v>283</v>
      </c>
      <c r="H371" s="3">
        <v>57</v>
      </c>
      <c r="I371" s="3">
        <f t="shared" si="25"/>
        <v>16131</v>
      </c>
      <c r="J371" s="3">
        <f t="shared" si="26"/>
        <v>76.989999999999995</v>
      </c>
      <c r="K371" s="88">
        <v>219</v>
      </c>
      <c r="L371" s="3">
        <f t="shared" si="27"/>
        <v>16860.809999999998</v>
      </c>
      <c r="M371" s="3">
        <f t="shared" si="28"/>
        <v>12483</v>
      </c>
      <c r="N371" s="3">
        <f t="shared" si="29"/>
        <v>4377.8099999999977</v>
      </c>
    </row>
    <row r="372" spans="4:14" x14ac:dyDescent="0.35">
      <c r="D372" s="1" t="s">
        <v>702</v>
      </c>
      <c r="E372" s="1" t="s">
        <v>888</v>
      </c>
      <c r="F372" t="s">
        <v>13</v>
      </c>
      <c r="G372" s="12">
        <v>478</v>
      </c>
      <c r="H372" s="3">
        <v>146</v>
      </c>
      <c r="I372" s="3">
        <f t="shared" si="25"/>
        <v>69788</v>
      </c>
      <c r="J372" s="3">
        <f t="shared" si="26"/>
        <v>196.99</v>
      </c>
      <c r="K372" s="88">
        <v>149</v>
      </c>
      <c r="L372" s="3">
        <f t="shared" si="27"/>
        <v>29351.510000000002</v>
      </c>
      <c r="M372" s="3">
        <f t="shared" si="28"/>
        <v>21754</v>
      </c>
      <c r="N372" s="3">
        <f t="shared" si="29"/>
        <v>7597.510000000002</v>
      </c>
    </row>
    <row r="373" spans="4:14" x14ac:dyDescent="0.35">
      <c r="D373" s="1" t="s">
        <v>703</v>
      </c>
      <c r="E373" s="1" t="s">
        <v>711</v>
      </c>
      <c r="F373" t="s">
        <v>13</v>
      </c>
      <c r="G373" s="12">
        <v>242</v>
      </c>
      <c r="H373" s="3">
        <v>50</v>
      </c>
      <c r="I373" s="3">
        <f t="shared" ref="I373:I403" si="30">G373*H373</f>
        <v>12100</v>
      </c>
      <c r="J373" s="3">
        <f t="shared" si="26"/>
        <v>67.989999999999995</v>
      </c>
      <c r="K373" s="88">
        <v>122</v>
      </c>
      <c r="L373" s="3">
        <f t="shared" si="27"/>
        <v>8294.7799999999988</v>
      </c>
      <c r="M373" s="3">
        <f t="shared" si="28"/>
        <v>6100</v>
      </c>
      <c r="N373" s="3">
        <f t="shared" si="29"/>
        <v>2194.7799999999988</v>
      </c>
    </row>
    <row r="374" spans="4:14" x14ac:dyDescent="0.35">
      <c r="D374" s="1" t="s">
        <v>704</v>
      </c>
      <c r="E374" s="1" t="s">
        <v>894</v>
      </c>
      <c r="F374" t="s">
        <v>13</v>
      </c>
      <c r="G374" s="12">
        <v>476</v>
      </c>
      <c r="H374" s="3">
        <v>80</v>
      </c>
      <c r="I374" s="3">
        <f t="shared" si="30"/>
        <v>38080</v>
      </c>
      <c r="J374" s="3">
        <f t="shared" si="26"/>
        <v>107.99</v>
      </c>
      <c r="K374" s="88">
        <v>243</v>
      </c>
      <c r="L374" s="3">
        <f t="shared" si="27"/>
        <v>26241.57</v>
      </c>
      <c r="M374" s="3">
        <f t="shared" si="28"/>
        <v>19440</v>
      </c>
      <c r="N374" s="3">
        <f t="shared" si="29"/>
        <v>6801.57</v>
      </c>
    </row>
    <row r="375" spans="4:14" x14ac:dyDescent="0.35">
      <c r="D375" s="1" t="s">
        <v>8</v>
      </c>
      <c r="E375" s="1" t="s">
        <v>711</v>
      </c>
      <c r="F375" t="s">
        <v>15</v>
      </c>
      <c r="G375" s="12">
        <v>385</v>
      </c>
      <c r="H375" s="3">
        <v>85</v>
      </c>
      <c r="I375" s="3">
        <f t="shared" si="30"/>
        <v>32725</v>
      </c>
      <c r="J375" s="3">
        <f t="shared" si="26"/>
        <v>114.99</v>
      </c>
      <c r="K375" s="88">
        <v>191</v>
      </c>
      <c r="L375" s="3">
        <f t="shared" si="27"/>
        <v>21963.09</v>
      </c>
      <c r="M375" s="3">
        <f t="shared" si="28"/>
        <v>16235</v>
      </c>
      <c r="N375" s="3">
        <f t="shared" si="29"/>
        <v>5728.09</v>
      </c>
    </row>
    <row r="376" spans="4:14" x14ac:dyDescent="0.35">
      <c r="D376" s="1" t="s">
        <v>515</v>
      </c>
      <c r="E376" s="1" t="s">
        <v>711</v>
      </c>
      <c r="F376" t="s">
        <v>12</v>
      </c>
      <c r="G376" s="12">
        <v>112</v>
      </c>
      <c r="H376" s="3">
        <v>18</v>
      </c>
      <c r="I376" s="3">
        <f t="shared" si="30"/>
        <v>2016</v>
      </c>
      <c r="J376" s="3">
        <f t="shared" si="26"/>
        <v>23.99</v>
      </c>
      <c r="K376" s="88">
        <v>112</v>
      </c>
      <c r="L376" s="3">
        <f t="shared" si="27"/>
        <v>2686.8799999999997</v>
      </c>
      <c r="M376" s="3">
        <f t="shared" si="28"/>
        <v>2016</v>
      </c>
      <c r="N376" s="3">
        <f t="shared" si="29"/>
        <v>670.87999999999965</v>
      </c>
    </row>
    <row r="377" spans="4:14" x14ac:dyDescent="0.35">
      <c r="D377" s="1" t="s">
        <v>705</v>
      </c>
      <c r="E377" s="1" t="s">
        <v>911</v>
      </c>
      <c r="F377" t="s">
        <v>16</v>
      </c>
      <c r="G377" s="12">
        <v>355</v>
      </c>
      <c r="H377" s="3">
        <v>129</v>
      </c>
      <c r="I377" s="3">
        <f t="shared" si="30"/>
        <v>45795</v>
      </c>
      <c r="J377" s="3">
        <f t="shared" si="26"/>
        <v>173.99</v>
      </c>
      <c r="K377" s="88">
        <v>330</v>
      </c>
      <c r="L377" s="3">
        <f t="shared" si="27"/>
        <v>57416.700000000004</v>
      </c>
      <c r="M377" s="3">
        <f t="shared" si="28"/>
        <v>42570</v>
      </c>
      <c r="N377" s="3">
        <f t="shared" si="29"/>
        <v>14846.700000000004</v>
      </c>
    </row>
    <row r="378" spans="4:14" x14ac:dyDescent="0.35">
      <c r="D378" s="1" t="s">
        <v>675</v>
      </c>
      <c r="E378" s="1" t="s">
        <v>711</v>
      </c>
      <c r="F378" t="s">
        <v>13</v>
      </c>
      <c r="G378" s="12">
        <v>397</v>
      </c>
      <c r="H378" s="3">
        <v>103</v>
      </c>
      <c r="I378" s="3">
        <f t="shared" si="30"/>
        <v>40891</v>
      </c>
      <c r="J378" s="3">
        <f t="shared" si="26"/>
        <v>138.99</v>
      </c>
      <c r="K378" s="88">
        <v>111</v>
      </c>
      <c r="L378" s="3">
        <f t="shared" si="27"/>
        <v>15427.890000000001</v>
      </c>
      <c r="M378" s="3">
        <f t="shared" si="28"/>
        <v>11433</v>
      </c>
      <c r="N378" s="3">
        <f t="shared" si="29"/>
        <v>3994.8900000000012</v>
      </c>
    </row>
    <row r="379" spans="4:14" x14ac:dyDescent="0.35">
      <c r="D379" s="1" t="s">
        <v>446</v>
      </c>
      <c r="E379" s="1" t="s">
        <v>711</v>
      </c>
      <c r="F379" t="s">
        <v>13</v>
      </c>
      <c r="G379" s="12">
        <v>183</v>
      </c>
      <c r="H379" s="3">
        <v>97</v>
      </c>
      <c r="I379" s="3">
        <f t="shared" si="30"/>
        <v>17751</v>
      </c>
      <c r="J379" s="3">
        <f t="shared" si="26"/>
        <v>130.99</v>
      </c>
      <c r="K379" s="88">
        <v>118</v>
      </c>
      <c r="L379" s="3">
        <f t="shared" si="27"/>
        <v>15456.820000000002</v>
      </c>
      <c r="M379" s="3">
        <f t="shared" si="28"/>
        <v>11446</v>
      </c>
      <c r="N379" s="3">
        <f t="shared" si="29"/>
        <v>4010.8200000000015</v>
      </c>
    </row>
    <row r="380" spans="4:14" x14ac:dyDescent="0.35">
      <c r="D380" s="1" t="s">
        <v>706</v>
      </c>
      <c r="E380" s="1" t="s">
        <v>885</v>
      </c>
      <c r="F380" t="s">
        <v>333</v>
      </c>
      <c r="G380" s="12">
        <v>365</v>
      </c>
      <c r="H380" s="3">
        <v>30</v>
      </c>
      <c r="I380" s="3">
        <f t="shared" si="30"/>
        <v>10950</v>
      </c>
      <c r="J380" s="3">
        <f t="shared" si="26"/>
        <v>40.99</v>
      </c>
      <c r="K380" s="88">
        <v>270</v>
      </c>
      <c r="L380" s="3">
        <f t="shared" si="27"/>
        <v>11067.300000000001</v>
      </c>
      <c r="M380" s="3">
        <f t="shared" si="28"/>
        <v>8100</v>
      </c>
      <c r="N380" s="3">
        <f t="shared" si="29"/>
        <v>2967.3000000000011</v>
      </c>
    </row>
    <row r="381" spans="4:14" x14ac:dyDescent="0.35">
      <c r="D381" s="1" t="s">
        <v>707</v>
      </c>
      <c r="E381" s="1" t="s">
        <v>885</v>
      </c>
      <c r="F381" t="s">
        <v>11</v>
      </c>
      <c r="G381" s="12">
        <v>191</v>
      </c>
      <c r="H381" s="3">
        <v>77</v>
      </c>
      <c r="I381" s="3">
        <f t="shared" si="30"/>
        <v>14707</v>
      </c>
      <c r="J381" s="3">
        <f t="shared" si="26"/>
        <v>103.99</v>
      </c>
      <c r="K381" s="88">
        <v>118</v>
      </c>
      <c r="L381" s="3">
        <f t="shared" si="27"/>
        <v>12270.82</v>
      </c>
      <c r="M381" s="3">
        <f t="shared" si="28"/>
        <v>9086</v>
      </c>
      <c r="N381" s="3">
        <f t="shared" si="29"/>
        <v>3184.8199999999997</v>
      </c>
    </row>
    <row r="382" spans="4:14" x14ac:dyDescent="0.35">
      <c r="D382" s="1" t="s">
        <v>545</v>
      </c>
      <c r="E382" s="1" t="s">
        <v>711</v>
      </c>
      <c r="F382" t="s">
        <v>11</v>
      </c>
      <c r="G382" s="12">
        <v>159</v>
      </c>
      <c r="H382" s="3">
        <v>33</v>
      </c>
      <c r="I382" s="3">
        <f t="shared" si="30"/>
        <v>5247</v>
      </c>
      <c r="J382" s="3">
        <f t="shared" si="26"/>
        <v>44.99</v>
      </c>
      <c r="K382" s="88">
        <v>110</v>
      </c>
      <c r="L382" s="3">
        <f t="shared" si="27"/>
        <v>4948.9000000000005</v>
      </c>
      <c r="M382" s="3">
        <f t="shared" si="28"/>
        <v>3630</v>
      </c>
      <c r="N382" s="3">
        <f t="shared" si="29"/>
        <v>1318.9000000000005</v>
      </c>
    </row>
    <row r="383" spans="4:14" x14ac:dyDescent="0.35">
      <c r="D383" s="1" t="s">
        <v>708</v>
      </c>
      <c r="E383" s="1" t="s">
        <v>894</v>
      </c>
      <c r="F383" t="s">
        <v>17</v>
      </c>
      <c r="G383" s="12">
        <v>309</v>
      </c>
      <c r="H383" s="3">
        <v>62</v>
      </c>
      <c r="I383" s="3">
        <f t="shared" si="30"/>
        <v>19158</v>
      </c>
      <c r="J383" s="3">
        <f t="shared" si="26"/>
        <v>83.99</v>
      </c>
      <c r="K383" s="88">
        <v>152</v>
      </c>
      <c r="L383" s="3">
        <f t="shared" si="27"/>
        <v>12766.48</v>
      </c>
      <c r="M383" s="3">
        <f t="shared" si="28"/>
        <v>9424</v>
      </c>
      <c r="N383" s="3">
        <f t="shared" si="29"/>
        <v>3342.4799999999996</v>
      </c>
    </row>
    <row r="384" spans="4:14" x14ac:dyDescent="0.35">
      <c r="D384" s="1" t="s">
        <v>540</v>
      </c>
      <c r="E384" s="1" t="s">
        <v>711</v>
      </c>
      <c r="F384" t="s">
        <v>17</v>
      </c>
      <c r="G384" s="12">
        <v>233</v>
      </c>
      <c r="H384" s="3">
        <v>114</v>
      </c>
      <c r="I384" s="3">
        <f t="shared" si="30"/>
        <v>26562</v>
      </c>
      <c r="J384" s="3">
        <f t="shared" si="26"/>
        <v>153.99</v>
      </c>
      <c r="K384" s="88">
        <v>232</v>
      </c>
      <c r="L384" s="3">
        <f t="shared" si="27"/>
        <v>35725.68</v>
      </c>
      <c r="M384" s="3">
        <f t="shared" si="28"/>
        <v>26448</v>
      </c>
      <c r="N384" s="3">
        <f t="shared" si="29"/>
        <v>9277.68</v>
      </c>
    </row>
    <row r="385" spans="4:14" x14ac:dyDescent="0.35">
      <c r="D385" s="1" t="s">
        <v>709</v>
      </c>
      <c r="E385" s="1" t="s">
        <v>887</v>
      </c>
      <c r="F385" t="s">
        <v>12</v>
      </c>
      <c r="G385" s="12">
        <v>283</v>
      </c>
      <c r="H385" s="3">
        <v>33</v>
      </c>
      <c r="I385" s="3">
        <f t="shared" si="30"/>
        <v>9339</v>
      </c>
      <c r="J385" s="3">
        <f t="shared" si="26"/>
        <v>44.99</v>
      </c>
      <c r="K385" s="88">
        <v>119</v>
      </c>
      <c r="L385" s="3">
        <f t="shared" si="27"/>
        <v>5353.81</v>
      </c>
      <c r="M385" s="3">
        <f t="shared" si="28"/>
        <v>3927</v>
      </c>
      <c r="N385" s="3">
        <f t="shared" si="29"/>
        <v>1426.8100000000004</v>
      </c>
    </row>
    <row r="386" spans="4:14" x14ac:dyDescent="0.35">
      <c r="D386" s="1" t="s">
        <v>495</v>
      </c>
      <c r="E386" s="1" t="s">
        <v>711</v>
      </c>
      <c r="F386" t="s">
        <v>12</v>
      </c>
      <c r="G386" s="12">
        <v>229</v>
      </c>
      <c r="H386" s="3">
        <v>125</v>
      </c>
      <c r="I386" s="3">
        <f t="shared" si="30"/>
        <v>28625</v>
      </c>
      <c r="J386" s="3">
        <f t="shared" si="26"/>
        <v>168.99</v>
      </c>
      <c r="K386" s="88">
        <v>156</v>
      </c>
      <c r="L386" s="3">
        <f t="shared" si="27"/>
        <v>26362.440000000002</v>
      </c>
      <c r="M386" s="3">
        <f t="shared" si="28"/>
        <v>19500</v>
      </c>
      <c r="N386" s="3">
        <f t="shared" si="29"/>
        <v>6862.4400000000023</v>
      </c>
    </row>
    <row r="387" spans="4:14" x14ac:dyDescent="0.35">
      <c r="D387" s="1" t="s">
        <v>496</v>
      </c>
      <c r="E387" s="1" t="s">
        <v>711</v>
      </c>
      <c r="F387" t="s">
        <v>13</v>
      </c>
      <c r="G387" s="12">
        <v>322</v>
      </c>
      <c r="H387" s="3">
        <v>12</v>
      </c>
      <c r="I387" s="3">
        <f t="shared" si="30"/>
        <v>3864</v>
      </c>
      <c r="J387" s="3">
        <f t="shared" si="26"/>
        <v>15.99</v>
      </c>
      <c r="K387" s="88">
        <v>312</v>
      </c>
      <c r="L387" s="3">
        <f t="shared" si="27"/>
        <v>4988.88</v>
      </c>
      <c r="M387" s="3">
        <f t="shared" si="28"/>
        <v>3744</v>
      </c>
      <c r="N387" s="3">
        <f t="shared" si="29"/>
        <v>1244.8800000000001</v>
      </c>
    </row>
    <row r="388" spans="4:14" x14ac:dyDescent="0.35">
      <c r="D388" s="1" t="s">
        <v>674</v>
      </c>
      <c r="E388" s="1" t="s">
        <v>886</v>
      </c>
      <c r="F388" t="s">
        <v>13</v>
      </c>
      <c r="G388" s="12">
        <v>283</v>
      </c>
      <c r="H388" s="3">
        <v>97</v>
      </c>
      <c r="I388" s="3">
        <f t="shared" si="30"/>
        <v>27451</v>
      </c>
      <c r="J388" s="3">
        <f t="shared" si="26"/>
        <v>130.99</v>
      </c>
      <c r="K388" s="88">
        <v>173</v>
      </c>
      <c r="L388" s="3">
        <f t="shared" si="27"/>
        <v>22661.27</v>
      </c>
      <c r="M388" s="3">
        <f t="shared" si="28"/>
        <v>16781</v>
      </c>
      <c r="N388" s="3">
        <f t="shared" si="29"/>
        <v>5880.27</v>
      </c>
    </row>
    <row r="389" spans="4:14" x14ac:dyDescent="0.35">
      <c r="D389" s="1" t="s">
        <v>448</v>
      </c>
      <c r="E389" s="1" t="s">
        <v>711</v>
      </c>
      <c r="F389" t="s">
        <v>15</v>
      </c>
      <c r="G389" s="12">
        <v>478</v>
      </c>
      <c r="H389" s="3">
        <v>77</v>
      </c>
      <c r="I389" s="3">
        <f t="shared" si="30"/>
        <v>36806</v>
      </c>
      <c r="J389" s="3">
        <f t="shared" si="26"/>
        <v>103.99</v>
      </c>
      <c r="K389" s="88">
        <v>357</v>
      </c>
      <c r="L389" s="3">
        <f t="shared" si="27"/>
        <v>37124.43</v>
      </c>
      <c r="M389" s="3">
        <f t="shared" si="28"/>
        <v>27489</v>
      </c>
      <c r="N389" s="3">
        <f t="shared" si="29"/>
        <v>9635.43</v>
      </c>
    </row>
    <row r="390" spans="4:14" x14ac:dyDescent="0.35">
      <c r="D390" s="1" t="s">
        <v>515</v>
      </c>
      <c r="E390" s="1" t="s">
        <v>711</v>
      </c>
      <c r="F390" t="s">
        <v>12</v>
      </c>
      <c r="G390" s="12">
        <v>242</v>
      </c>
      <c r="H390" s="3">
        <v>138</v>
      </c>
      <c r="I390" s="3">
        <f t="shared" si="30"/>
        <v>33396</v>
      </c>
      <c r="J390" s="3">
        <f t="shared" ref="J390:J403" si="31">ROUND((H390*35%)+H390,0)-0.01</f>
        <v>185.99</v>
      </c>
      <c r="K390" s="88">
        <v>213</v>
      </c>
      <c r="L390" s="3">
        <f t="shared" ref="L390:L403" si="32">K390*J390</f>
        <v>39615.870000000003</v>
      </c>
      <c r="M390" s="3">
        <f t="shared" ref="M390:M403" si="33">H390*K390</f>
        <v>29394</v>
      </c>
      <c r="N390" s="3">
        <f t="shared" ref="N390:N403" si="34">L390-M390</f>
        <v>10221.870000000003</v>
      </c>
    </row>
    <row r="391" spans="4:14" x14ac:dyDescent="0.35">
      <c r="D391" s="1" t="s">
        <v>675</v>
      </c>
      <c r="E391" s="1" t="s">
        <v>711</v>
      </c>
      <c r="F391" t="s">
        <v>16</v>
      </c>
      <c r="G391" s="12">
        <v>476</v>
      </c>
      <c r="H391" s="3">
        <v>139</v>
      </c>
      <c r="I391" s="3">
        <f t="shared" si="30"/>
        <v>66164</v>
      </c>
      <c r="J391" s="3">
        <f t="shared" si="31"/>
        <v>187.99</v>
      </c>
      <c r="K391" s="88">
        <v>272</v>
      </c>
      <c r="L391" s="3">
        <f t="shared" si="32"/>
        <v>51133.279999999999</v>
      </c>
      <c r="M391" s="3">
        <f t="shared" si="33"/>
        <v>37808</v>
      </c>
      <c r="N391" s="3">
        <f t="shared" si="34"/>
        <v>13325.279999999999</v>
      </c>
    </row>
    <row r="392" spans="4:14" x14ac:dyDescent="0.35">
      <c r="D392" s="1" t="s">
        <v>663</v>
      </c>
      <c r="E392" s="1" t="s">
        <v>887</v>
      </c>
      <c r="F392" t="s">
        <v>13</v>
      </c>
      <c r="G392" s="12">
        <v>385</v>
      </c>
      <c r="H392" s="3">
        <v>18</v>
      </c>
      <c r="I392" s="3">
        <f t="shared" si="30"/>
        <v>6930</v>
      </c>
      <c r="J392" s="3">
        <f t="shared" si="31"/>
        <v>23.99</v>
      </c>
      <c r="K392" s="88">
        <v>139</v>
      </c>
      <c r="L392" s="3">
        <f t="shared" si="32"/>
        <v>3334.6099999999997</v>
      </c>
      <c r="M392" s="3">
        <f t="shared" si="33"/>
        <v>2502</v>
      </c>
      <c r="N392" s="3">
        <f t="shared" si="34"/>
        <v>832.60999999999967</v>
      </c>
    </row>
    <row r="393" spans="4:14" x14ac:dyDescent="0.35">
      <c r="D393" s="1" t="s">
        <v>676</v>
      </c>
      <c r="E393" s="1" t="s">
        <v>887</v>
      </c>
      <c r="F393" t="s">
        <v>13</v>
      </c>
      <c r="G393" s="12">
        <v>112</v>
      </c>
      <c r="H393" s="3">
        <v>75</v>
      </c>
      <c r="I393" s="3">
        <f t="shared" si="30"/>
        <v>8400</v>
      </c>
      <c r="J393" s="3">
        <f t="shared" si="31"/>
        <v>100.99</v>
      </c>
      <c r="K393" s="88">
        <v>104</v>
      </c>
      <c r="L393" s="3">
        <f t="shared" si="32"/>
        <v>10502.96</v>
      </c>
      <c r="M393" s="3">
        <f t="shared" si="33"/>
        <v>7800</v>
      </c>
      <c r="N393" s="3">
        <f t="shared" si="34"/>
        <v>2702.9599999999991</v>
      </c>
    </row>
    <row r="394" spans="4:14" x14ac:dyDescent="0.35">
      <c r="D394" s="1" t="s">
        <v>677</v>
      </c>
      <c r="E394" s="1" t="s">
        <v>711</v>
      </c>
      <c r="F394" t="s">
        <v>333</v>
      </c>
      <c r="G394" s="12">
        <v>355</v>
      </c>
      <c r="H394" s="3">
        <v>143</v>
      </c>
      <c r="I394" s="3">
        <f t="shared" si="30"/>
        <v>50765</v>
      </c>
      <c r="J394" s="3">
        <f t="shared" si="31"/>
        <v>192.99</v>
      </c>
      <c r="K394" s="88">
        <v>112</v>
      </c>
      <c r="L394" s="3">
        <f t="shared" si="32"/>
        <v>21614.880000000001</v>
      </c>
      <c r="M394" s="3">
        <f t="shared" si="33"/>
        <v>16016</v>
      </c>
      <c r="N394" s="3">
        <f t="shared" si="34"/>
        <v>5598.880000000001</v>
      </c>
    </row>
    <row r="395" spans="4:14" x14ac:dyDescent="0.35">
      <c r="D395" s="1" t="s">
        <v>678</v>
      </c>
      <c r="E395" s="1" t="s">
        <v>711</v>
      </c>
      <c r="F395" t="s">
        <v>11</v>
      </c>
      <c r="G395" s="12">
        <v>397</v>
      </c>
      <c r="H395" s="3">
        <v>67</v>
      </c>
      <c r="I395" s="3">
        <f t="shared" si="30"/>
        <v>26599</v>
      </c>
      <c r="J395" s="3">
        <f t="shared" si="31"/>
        <v>89.99</v>
      </c>
      <c r="K395" s="88">
        <v>222</v>
      </c>
      <c r="L395" s="3">
        <f t="shared" si="32"/>
        <v>19977.78</v>
      </c>
      <c r="M395" s="3">
        <f t="shared" si="33"/>
        <v>14874</v>
      </c>
      <c r="N395" s="3">
        <f t="shared" si="34"/>
        <v>5103.7799999999988</v>
      </c>
    </row>
    <row r="396" spans="4:14" x14ac:dyDescent="0.35">
      <c r="D396" s="1" t="s">
        <v>799</v>
      </c>
      <c r="E396" s="1" t="s">
        <v>711</v>
      </c>
      <c r="F396" t="s">
        <v>11</v>
      </c>
      <c r="G396" s="12">
        <v>183</v>
      </c>
      <c r="H396" s="3">
        <v>32</v>
      </c>
      <c r="I396" s="3">
        <f t="shared" si="30"/>
        <v>5856</v>
      </c>
      <c r="J396" s="3">
        <f t="shared" si="31"/>
        <v>42.99</v>
      </c>
      <c r="K396" s="88">
        <v>129</v>
      </c>
      <c r="L396" s="3">
        <f t="shared" si="32"/>
        <v>5545.71</v>
      </c>
      <c r="M396" s="3">
        <f t="shared" si="33"/>
        <v>4128</v>
      </c>
      <c r="N396" s="3">
        <f t="shared" si="34"/>
        <v>1417.71</v>
      </c>
    </row>
    <row r="397" spans="4:14" x14ac:dyDescent="0.35">
      <c r="D397" s="1" t="s">
        <v>426</v>
      </c>
      <c r="E397" s="1" t="s">
        <v>711</v>
      </c>
      <c r="F397" t="s">
        <v>17</v>
      </c>
      <c r="G397" s="12">
        <v>365</v>
      </c>
      <c r="H397" s="3">
        <v>95</v>
      </c>
      <c r="I397" s="3">
        <f t="shared" si="30"/>
        <v>34675</v>
      </c>
      <c r="J397" s="3">
        <f t="shared" si="31"/>
        <v>127.99</v>
      </c>
      <c r="K397" s="88">
        <v>296</v>
      </c>
      <c r="L397" s="3">
        <f t="shared" si="32"/>
        <v>37885.040000000001</v>
      </c>
      <c r="M397" s="3">
        <f t="shared" si="33"/>
        <v>28120</v>
      </c>
      <c r="N397" s="3">
        <f t="shared" si="34"/>
        <v>9765.0400000000009</v>
      </c>
    </row>
    <row r="398" spans="4:14" x14ac:dyDescent="0.35">
      <c r="D398" s="1" t="s">
        <v>611</v>
      </c>
      <c r="E398" s="1" t="s">
        <v>894</v>
      </c>
      <c r="F398" t="s">
        <v>17</v>
      </c>
      <c r="G398" s="12">
        <v>191</v>
      </c>
      <c r="H398" s="3">
        <v>84</v>
      </c>
      <c r="I398" s="3">
        <f t="shared" si="30"/>
        <v>16044</v>
      </c>
      <c r="J398" s="3">
        <f t="shared" si="31"/>
        <v>112.99</v>
      </c>
      <c r="K398" s="88">
        <v>165</v>
      </c>
      <c r="L398" s="3">
        <f t="shared" si="32"/>
        <v>18643.349999999999</v>
      </c>
      <c r="M398" s="3">
        <f t="shared" si="33"/>
        <v>13860</v>
      </c>
      <c r="N398" s="3">
        <f t="shared" si="34"/>
        <v>4783.3499999999985</v>
      </c>
    </row>
    <row r="399" spans="4:14" x14ac:dyDescent="0.35">
      <c r="D399" s="1" t="s">
        <v>679</v>
      </c>
      <c r="E399" s="1" t="s">
        <v>885</v>
      </c>
      <c r="F399" t="s">
        <v>12</v>
      </c>
      <c r="G399" s="12">
        <v>159</v>
      </c>
      <c r="H399" s="3">
        <v>127</v>
      </c>
      <c r="I399" s="3">
        <f t="shared" si="30"/>
        <v>20193</v>
      </c>
      <c r="J399" s="3">
        <f t="shared" si="31"/>
        <v>170.99</v>
      </c>
      <c r="K399" s="88">
        <v>109</v>
      </c>
      <c r="L399" s="3">
        <f t="shared" si="32"/>
        <v>18637.91</v>
      </c>
      <c r="M399" s="3">
        <f t="shared" si="33"/>
        <v>13843</v>
      </c>
      <c r="N399" s="3">
        <f t="shared" si="34"/>
        <v>4794.91</v>
      </c>
    </row>
    <row r="400" spans="4:14" x14ac:dyDescent="0.35">
      <c r="D400" s="1" t="s">
        <v>7</v>
      </c>
      <c r="E400" s="1" t="s">
        <v>711</v>
      </c>
      <c r="F400" t="s">
        <v>12</v>
      </c>
      <c r="G400" s="12">
        <v>309</v>
      </c>
      <c r="H400" s="3">
        <v>32</v>
      </c>
      <c r="I400" s="3">
        <f t="shared" si="30"/>
        <v>9888</v>
      </c>
      <c r="J400" s="3">
        <f t="shared" si="31"/>
        <v>42.99</v>
      </c>
      <c r="K400" s="88">
        <v>222</v>
      </c>
      <c r="L400" s="3">
        <f t="shared" si="32"/>
        <v>9543.7800000000007</v>
      </c>
      <c r="M400" s="3">
        <f t="shared" si="33"/>
        <v>7104</v>
      </c>
      <c r="N400" s="3">
        <f t="shared" si="34"/>
        <v>2439.7800000000007</v>
      </c>
    </row>
    <row r="401" spans="4:14" x14ac:dyDescent="0.35">
      <c r="D401" s="1" t="s">
        <v>512</v>
      </c>
      <c r="E401" s="1" t="s">
        <v>711</v>
      </c>
      <c r="F401" t="s">
        <v>13</v>
      </c>
      <c r="G401" s="12">
        <v>233</v>
      </c>
      <c r="H401" s="3">
        <v>96</v>
      </c>
      <c r="I401" s="3">
        <f t="shared" si="30"/>
        <v>22368</v>
      </c>
      <c r="J401" s="3">
        <f t="shared" si="31"/>
        <v>129.99</v>
      </c>
      <c r="K401" s="88">
        <v>217</v>
      </c>
      <c r="L401" s="3">
        <f t="shared" si="32"/>
        <v>28207.83</v>
      </c>
      <c r="M401" s="3">
        <f t="shared" si="33"/>
        <v>20832</v>
      </c>
      <c r="N401" s="3">
        <f t="shared" si="34"/>
        <v>7375.8300000000017</v>
      </c>
    </row>
    <row r="402" spans="4:14" x14ac:dyDescent="0.35">
      <c r="D402" s="1" t="s">
        <v>710</v>
      </c>
      <c r="E402" s="1" t="s">
        <v>889</v>
      </c>
      <c r="F402" t="s">
        <v>333</v>
      </c>
      <c r="G402" s="12">
        <v>283</v>
      </c>
      <c r="H402" s="3">
        <v>149</v>
      </c>
      <c r="I402" s="3">
        <f t="shared" si="30"/>
        <v>42167</v>
      </c>
      <c r="J402" s="3">
        <f t="shared" si="31"/>
        <v>200.99</v>
      </c>
      <c r="K402" s="88">
        <v>202</v>
      </c>
      <c r="L402" s="3">
        <f t="shared" si="32"/>
        <v>40599.980000000003</v>
      </c>
      <c r="M402" s="3">
        <f t="shared" si="33"/>
        <v>30098</v>
      </c>
      <c r="N402" s="3">
        <f t="shared" si="34"/>
        <v>10501.980000000003</v>
      </c>
    </row>
    <row r="403" spans="4:14" x14ac:dyDescent="0.35">
      <c r="D403" s="1" t="s">
        <v>681</v>
      </c>
      <c r="E403" s="1" t="s">
        <v>885</v>
      </c>
      <c r="F403" t="s">
        <v>11</v>
      </c>
      <c r="G403" s="12">
        <v>229</v>
      </c>
      <c r="H403" s="3">
        <v>87</v>
      </c>
      <c r="I403" s="3">
        <f t="shared" si="30"/>
        <v>19923</v>
      </c>
      <c r="J403" s="3">
        <f t="shared" si="31"/>
        <v>116.99</v>
      </c>
      <c r="K403" s="88">
        <v>110</v>
      </c>
      <c r="L403" s="3">
        <f t="shared" si="32"/>
        <v>12868.9</v>
      </c>
      <c r="M403" s="3">
        <f t="shared" si="33"/>
        <v>9570</v>
      </c>
      <c r="N403" s="3">
        <f t="shared" si="34"/>
        <v>3298.8999999999996</v>
      </c>
    </row>
    <row r="404" spans="4:14" x14ac:dyDescent="0.35">
      <c r="F404" s="258"/>
      <c r="G404" s="8"/>
      <c r="H404" s="11"/>
      <c r="I404" s="11"/>
      <c r="J404" s="8"/>
      <c r="K404" s="11"/>
      <c r="L404" s="11"/>
      <c r="M404" s="11"/>
      <c r="N404" s="11"/>
    </row>
  </sheetData>
  <mergeCells count="1">
    <mergeCell ref="B2:N2"/>
  </mergeCells>
  <conditionalFormatting sqref="D5:N403">
    <cfRule type="expression" dxfId="111" priority="2">
      <formula>$B$22=$E5</formula>
    </cfRule>
  </conditionalFormatting>
  <pageMargins left="0.7" right="0.7" top="0.75" bottom="0.75" header="0.3" footer="0.3"/>
  <pageSetup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8" tint="0.59999389629810485"/>
  </sheetPr>
  <dimension ref="B2:W35"/>
  <sheetViews>
    <sheetView topLeftCell="A11" zoomScale="80" zoomScaleNormal="80" workbookViewId="0">
      <selection activeCell="O23" sqref="O23:O28"/>
    </sheetView>
  </sheetViews>
  <sheetFormatPr defaultRowHeight="14.5" x14ac:dyDescent="0.35"/>
  <cols>
    <col min="1" max="1" width="5.1796875" customWidth="1"/>
    <col min="2" max="2" width="5.26953125" customWidth="1"/>
    <col min="3" max="3" width="20.1796875" customWidth="1"/>
    <col min="4" max="4" width="16.08984375" bestFit="1" customWidth="1"/>
    <col min="5" max="5" width="10.6328125" customWidth="1"/>
    <col min="9" max="9" width="7.81640625" customWidth="1"/>
    <col min="10" max="10" width="26.6328125" customWidth="1"/>
    <col min="11" max="12" width="5.26953125" customWidth="1"/>
    <col min="13" max="13" width="20.1796875" customWidth="1"/>
    <col min="14" max="14" width="15.36328125" bestFit="1" customWidth="1"/>
    <col min="15" max="15" width="10.36328125" bestFit="1" customWidth="1"/>
    <col min="20" max="20" width="26.6328125" customWidth="1"/>
  </cols>
  <sheetData>
    <row r="2" spans="2:23" ht="29" customHeight="1" x14ac:dyDescent="0.55000000000000004">
      <c r="B2" s="326" t="s">
        <v>918</v>
      </c>
      <c r="C2" s="327"/>
      <c r="D2" s="327"/>
      <c r="E2" s="327"/>
      <c r="F2" s="327"/>
      <c r="G2" s="327"/>
      <c r="H2" s="327"/>
      <c r="I2" s="327"/>
      <c r="J2" s="327"/>
      <c r="K2" s="327"/>
      <c r="L2" s="327"/>
      <c r="M2" s="327"/>
      <c r="N2" s="327"/>
      <c r="O2" s="327"/>
      <c r="P2" s="327"/>
      <c r="Q2" s="327"/>
      <c r="R2" s="327"/>
      <c r="S2" s="327"/>
      <c r="T2" s="328"/>
      <c r="U2" s="97"/>
      <c r="V2" s="97"/>
      <c r="W2" s="97"/>
    </row>
    <row r="3" spans="2:23" ht="15" thickBot="1" x14ac:dyDescent="0.4"/>
    <row r="4" spans="2:23" ht="16" thickBot="1" x14ac:dyDescent="0.4">
      <c r="B4" s="335" t="s">
        <v>913</v>
      </c>
      <c r="C4" s="336"/>
      <c r="D4" s="336"/>
      <c r="E4" s="336"/>
      <c r="F4" s="336"/>
      <c r="G4" s="336"/>
      <c r="H4" s="336"/>
      <c r="I4" s="336"/>
      <c r="J4" s="336"/>
      <c r="K4" s="336"/>
      <c r="L4" s="336"/>
      <c r="M4" s="336"/>
      <c r="N4" s="336"/>
      <c r="O4" s="336"/>
      <c r="P4" s="336"/>
      <c r="Q4" s="336"/>
      <c r="R4" s="336"/>
      <c r="S4" s="336"/>
      <c r="T4" s="337"/>
      <c r="U4" s="96"/>
      <c r="V4" s="96"/>
    </row>
    <row r="5" spans="2:23" ht="15" thickBot="1" x14ac:dyDescent="0.4">
      <c r="B5" s="332" t="s">
        <v>778</v>
      </c>
      <c r="C5" s="333"/>
      <c r="D5" s="333"/>
      <c r="E5" s="333"/>
      <c r="F5" s="333"/>
      <c r="G5" s="333"/>
      <c r="H5" s="333"/>
      <c r="I5" s="333"/>
      <c r="J5" s="334"/>
      <c r="K5" s="8"/>
      <c r="L5" s="332" t="s">
        <v>759</v>
      </c>
      <c r="M5" s="333"/>
      <c r="N5" s="333"/>
      <c r="O5" s="333"/>
      <c r="P5" s="333"/>
      <c r="Q5" s="333"/>
      <c r="R5" s="333"/>
      <c r="S5" s="333"/>
      <c r="T5" s="334"/>
      <c r="U5" s="95"/>
      <c r="V5" s="95"/>
    </row>
    <row r="6" spans="2:23" ht="45.5" customHeight="1" x14ac:dyDescent="0.35">
      <c r="B6" s="16"/>
      <c r="C6" s="99" t="s">
        <v>19</v>
      </c>
      <c r="D6" s="100" t="s">
        <v>782</v>
      </c>
      <c r="E6" s="17"/>
      <c r="F6" s="17"/>
      <c r="G6" s="17"/>
      <c r="H6" s="17"/>
      <c r="I6" s="17"/>
      <c r="J6" s="18"/>
      <c r="K6" s="8"/>
      <c r="L6" s="16"/>
      <c r="M6" s="99" t="s">
        <v>19</v>
      </c>
      <c r="N6" s="100" t="s">
        <v>800</v>
      </c>
      <c r="O6" s="17"/>
      <c r="P6" s="17"/>
      <c r="Q6" s="17"/>
      <c r="R6" s="17"/>
      <c r="S6" s="17"/>
      <c r="T6" s="18"/>
      <c r="U6" s="8"/>
      <c r="V6" s="8"/>
    </row>
    <row r="7" spans="2:23" x14ac:dyDescent="0.35">
      <c r="B7" s="16"/>
      <c r="C7" s="107" t="s">
        <v>768</v>
      </c>
      <c r="D7" s="103">
        <f>COUNTIF(ProductType,"Beer")</f>
        <v>33</v>
      </c>
      <c r="E7" s="17"/>
      <c r="F7" s="17"/>
      <c r="G7" s="17"/>
      <c r="H7" s="17"/>
      <c r="I7" s="17"/>
      <c r="J7" s="18"/>
      <c r="K7" s="8"/>
      <c r="L7" s="16"/>
      <c r="M7" s="107" t="s">
        <v>768</v>
      </c>
      <c r="N7" s="225">
        <f ca="1">SUMIF(ProductUnitsSold,"Beer",NumUnitsSold)</f>
        <v>6698</v>
      </c>
      <c r="O7" s="17"/>
      <c r="P7" s="17"/>
      <c r="Q7" s="17"/>
      <c r="R7" s="17"/>
      <c r="S7" s="17"/>
      <c r="T7" s="18"/>
      <c r="U7" s="8"/>
      <c r="V7" s="8"/>
    </row>
    <row r="8" spans="2:23" x14ac:dyDescent="0.35">
      <c r="B8" s="16"/>
      <c r="C8" s="107" t="s">
        <v>769</v>
      </c>
      <c r="D8" s="103">
        <f>COUNTIF(ProductType,"Rum")</f>
        <v>46</v>
      </c>
      <c r="E8" s="17"/>
      <c r="F8" s="17"/>
      <c r="G8" s="17"/>
      <c r="H8" s="17"/>
      <c r="I8" s="17"/>
      <c r="J8" s="18"/>
      <c r="K8" s="8"/>
      <c r="L8" s="16"/>
      <c r="M8" s="107" t="s">
        <v>769</v>
      </c>
      <c r="N8" s="225">
        <f ca="1">SUMIF(ProductUnitsSold,"Rum",NumUnitsSold)</f>
        <v>8648</v>
      </c>
      <c r="O8" s="17"/>
      <c r="P8" s="17"/>
      <c r="Q8" s="17"/>
      <c r="R8" s="17"/>
      <c r="S8" s="17"/>
      <c r="T8" s="18"/>
      <c r="U8" s="8"/>
      <c r="V8" s="8"/>
    </row>
    <row r="9" spans="2:23" x14ac:dyDescent="0.35">
      <c r="B9" s="16"/>
      <c r="C9" s="107" t="s">
        <v>770</v>
      </c>
      <c r="D9" s="103">
        <f>COUNTIF(ProductType,"Champagne")</f>
        <v>42</v>
      </c>
      <c r="E9" s="17"/>
      <c r="F9" s="17"/>
      <c r="G9" s="17"/>
      <c r="H9" s="17"/>
      <c r="I9" s="17"/>
      <c r="J9" s="18"/>
      <c r="K9" s="8"/>
      <c r="L9" s="16"/>
      <c r="M9" s="107" t="s">
        <v>770</v>
      </c>
      <c r="N9" s="225">
        <f ca="1">SUMIF(ProductUnitsSold,"Champagne",NumUnitsSold)</f>
        <v>8213</v>
      </c>
      <c r="O9" s="17"/>
      <c r="P9" s="17"/>
      <c r="Q9" s="17"/>
      <c r="R9" s="17"/>
      <c r="S9" s="17"/>
      <c r="T9" s="18"/>
      <c r="U9" s="8"/>
      <c r="V9" s="8"/>
    </row>
    <row r="10" spans="2:23" x14ac:dyDescent="0.35">
      <c r="B10" s="16"/>
      <c r="C10" s="107" t="s">
        <v>771</v>
      </c>
      <c r="D10" s="103">
        <f>COUNTIF(ProductType,"Liquer")</f>
        <v>42</v>
      </c>
      <c r="E10" s="17"/>
      <c r="F10" s="17"/>
      <c r="G10" s="17"/>
      <c r="H10" s="17"/>
      <c r="I10" s="17"/>
      <c r="J10" s="18"/>
      <c r="K10" s="8"/>
      <c r="L10" s="16"/>
      <c r="M10" s="107" t="s">
        <v>771</v>
      </c>
      <c r="N10" s="225">
        <f ca="1">SUMIF(ProductUnitsSold,"Liquer",NumUnitsSold)</f>
        <v>9053</v>
      </c>
      <c r="O10" s="17"/>
      <c r="P10" s="17"/>
      <c r="Q10" s="17"/>
      <c r="R10" s="17"/>
      <c r="S10" s="17"/>
      <c r="T10" s="18"/>
      <c r="U10" s="8"/>
      <c r="V10" s="8"/>
    </row>
    <row r="11" spans="2:23" x14ac:dyDescent="0.35">
      <c r="B11" s="16"/>
      <c r="C11" s="107" t="s">
        <v>772</v>
      </c>
      <c r="D11" s="103">
        <f>COUNTIF(ProductType,"Vodka")</f>
        <v>35</v>
      </c>
      <c r="E11" s="17"/>
      <c r="F11" s="17"/>
      <c r="G11" s="17"/>
      <c r="H11" s="17"/>
      <c r="I11" s="17"/>
      <c r="J11" s="18"/>
      <c r="K11" s="8"/>
      <c r="L11" s="16"/>
      <c r="M11" s="107" t="s">
        <v>772</v>
      </c>
      <c r="N11" s="225">
        <f ca="1">SUMIF(ProductUnitsSold,"Vodka",NumUnitsSold)</f>
        <v>6605</v>
      </c>
      <c r="O11" s="17"/>
      <c r="P11" s="17"/>
      <c r="Q11" s="17"/>
      <c r="R11" s="17"/>
      <c r="S11" s="17"/>
      <c r="T11" s="18"/>
      <c r="U11" s="8"/>
      <c r="V11" s="8"/>
    </row>
    <row r="12" spans="2:23" x14ac:dyDescent="0.35">
      <c r="B12" s="16"/>
      <c r="C12" s="107" t="s">
        <v>773</v>
      </c>
      <c r="D12" s="103">
        <f>COUNTIF(ProductType,"Gin")</f>
        <v>41</v>
      </c>
      <c r="E12" s="17"/>
      <c r="F12" s="17"/>
      <c r="G12" s="17"/>
      <c r="H12" s="17"/>
      <c r="I12" s="17"/>
      <c r="J12" s="18"/>
      <c r="K12" s="8"/>
      <c r="L12" s="16"/>
      <c r="M12" s="107" t="s">
        <v>773</v>
      </c>
      <c r="N12" s="225">
        <f ca="1">SUMIF(ProductUnitsSold,"Gin",NumUnitsSold)</f>
        <v>9016</v>
      </c>
      <c r="O12" s="17"/>
      <c r="P12" s="17"/>
      <c r="Q12" s="17"/>
      <c r="R12" s="17"/>
      <c r="S12" s="17"/>
      <c r="T12" s="18"/>
      <c r="U12" s="8"/>
      <c r="V12" s="8"/>
    </row>
    <row r="13" spans="2:23" x14ac:dyDescent="0.35">
      <c r="B13" s="16"/>
      <c r="C13" s="107" t="s">
        <v>774</v>
      </c>
      <c r="D13" s="103">
        <f>COUNTIF(ProductType,"Whiskey")</f>
        <v>31</v>
      </c>
      <c r="E13" s="17"/>
      <c r="F13" s="17"/>
      <c r="G13" s="17"/>
      <c r="H13" s="17"/>
      <c r="I13" s="17"/>
      <c r="J13" s="18"/>
      <c r="K13" s="8"/>
      <c r="L13" s="16"/>
      <c r="M13" s="107" t="s">
        <v>774</v>
      </c>
      <c r="N13" s="225">
        <f ca="1">SUMIF(ProductUnitsSold,"Whiskey",NumUnitsSold)</f>
        <v>6971</v>
      </c>
      <c r="O13" s="17"/>
      <c r="P13" s="17"/>
      <c r="Q13" s="17"/>
      <c r="R13" s="17"/>
      <c r="S13" s="17"/>
      <c r="T13" s="18"/>
      <c r="U13" s="8"/>
      <c r="V13" s="8"/>
    </row>
    <row r="14" spans="2:23" x14ac:dyDescent="0.35">
      <c r="B14" s="16"/>
      <c r="C14" s="107" t="s">
        <v>775</v>
      </c>
      <c r="D14" s="103">
        <f>COUNTIF(ProductType,"Wine")</f>
        <v>26</v>
      </c>
      <c r="E14" s="17"/>
      <c r="F14" s="17"/>
      <c r="G14" s="17"/>
      <c r="H14" s="17"/>
      <c r="I14" s="17"/>
      <c r="J14" s="18"/>
      <c r="K14" s="8"/>
      <c r="L14" s="16"/>
      <c r="M14" s="107" t="s">
        <v>775</v>
      </c>
      <c r="N14" s="225">
        <f ca="1">SUMIF(ProductUnitsSold,"Wine",NumUnitsSold)</f>
        <v>5317</v>
      </c>
      <c r="O14" s="17"/>
      <c r="P14" s="17"/>
      <c r="Q14" s="17"/>
      <c r="R14" s="17"/>
      <c r="S14" s="17"/>
      <c r="T14" s="18"/>
      <c r="U14" s="8"/>
      <c r="V14" s="8"/>
    </row>
    <row r="15" spans="2:23" x14ac:dyDescent="0.35">
      <c r="B15" s="16"/>
      <c r="C15" s="107" t="s">
        <v>776</v>
      </c>
      <c r="D15" s="103">
        <f>COUNTIF(ProductType,"Cognac")</f>
        <v>44</v>
      </c>
      <c r="E15" s="17"/>
      <c r="F15" s="17"/>
      <c r="G15" s="17"/>
      <c r="H15" s="17"/>
      <c r="I15" s="17"/>
      <c r="J15" s="18"/>
      <c r="K15" s="8"/>
      <c r="L15" s="16"/>
      <c r="M15" s="107" t="s">
        <v>776</v>
      </c>
      <c r="N15" s="225">
        <f ca="1">SUMIF(ProductUnitsSold,"Cognac",NumUnitsSold)</f>
        <v>8988</v>
      </c>
      <c r="O15" s="17"/>
      <c r="P15" s="17"/>
      <c r="Q15" s="17"/>
      <c r="R15" s="17"/>
      <c r="S15" s="17"/>
      <c r="T15" s="18"/>
      <c r="U15" s="8"/>
      <c r="V15" s="8"/>
    </row>
    <row r="16" spans="2:23" x14ac:dyDescent="0.35">
      <c r="B16" s="16"/>
      <c r="C16" s="107" t="s">
        <v>777</v>
      </c>
      <c r="D16" s="103">
        <f>COUNTIF(ProductType,"Brandy")</f>
        <v>59</v>
      </c>
      <c r="E16" s="17"/>
      <c r="F16" s="17"/>
      <c r="G16" s="17"/>
      <c r="H16" s="17"/>
      <c r="I16" s="17"/>
      <c r="J16" s="18"/>
      <c r="K16" s="8"/>
      <c r="L16" s="16"/>
      <c r="M16" s="107" t="s">
        <v>777</v>
      </c>
      <c r="N16" s="225">
        <f ca="1">SUMIF(ProductUnitsSold,"Brandy",NumUnitsSold)</f>
        <v>12485</v>
      </c>
      <c r="O16" s="17"/>
      <c r="P16" s="17"/>
      <c r="Q16" s="17"/>
      <c r="R16" s="17"/>
      <c r="S16" s="17"/>
      <c r="T16" s="18"/>
      <c r="U16" s="8"/>
      <c r="V16" s="8"/>
    </row>
    <row r="17" spans="2:23" x14ac:dyDescent="0.35">
      <c r="B17" s="16"/>
      <c r="C17" s="226" t="s">
        <v>802</v>
      </c>
      <c r="D17" s="229">
        <f>SUM(D7:D16)</f>
        <v>399</v>
      </c>
      <c r="E17" s="17"/>
      <c r="F17" s="17"/>
      <c r="G17" s="17"/>
      <c r="H17" s="17"/>
      <c r="I17" s="17"/>
      <c r="J17" s="18"/>
      <c r="K17" s="8"/>
      <c r="L17" s="16"/>
      <c r="M17" s="226" t="s">
        <v>802</v>
      </c>
      <c r="N17" s="228">
        <f ca="1">SUM(N7:N16)</f>
        <v>81994</v>
      </c>
      <c r="O17" s="17"/>
      <c r="P17" s="17"/>
      <c r="Q17" s="17"/>
      <c r="R17" s="17"/>
      <c r="S17" s="17"/>
      <c r="T17" s="18"/>
      <c r="U17" s="8"/>
      <c r="V17" s="8"/>
    </row>
    <row r="18" spans="2:23" ht="15" thickBot="1" x14ac:dyDescent="0.4">
      <c r="B18" s="54"/>
      <c r="C18" s="231"/>
      <c r="D18" s="232"/>
      <c r="E18" s="22"/>
      <c r="F18" s="22"/>
      <c r="G18" s="22"/>
      <c r="H18" s="22"/>
      <c r="I18" s="22"/>
      <c r="J18" s="23"/>
      <c r="K18" s="8"/>
      <c r="L18" s="21"/>
      <c r="M18" s="22"/>
      <c r="N18" s="104"/>
      <c r="O18" s="22"/>
      <c r="P18" s="22"/>
      <c r="Q18" s="22"/>
      <c r="R18" s="22"/>
      <c r="S18" s="22"/>
      <c r="T18" s="23"/>
      <c r="U18" s="8"/>
      <c r="V18" s="8"/>
    </row>
    <row r="19" spans="2:23" ht="22.5" customHeight="1" thickBot="1" x14ac:dyDescent="0.4">
      <c r="B19" s="9"/>
      <c r="C19" s="8"/>
      <c r="D19" s="8"/>
      <c r="E19" s="8"/>
      <c r="F19" s="8"/>
      <c r="G19" s="8"/>
      <c r="H19" s="8"/>
      <c r="I19" s="8"/>
      <c r="J19" s="8"/>
      <c r="K19" s="9"/>
      <c r="L19" s="9"/>
      <c r="M19" s="8"/>
      <c r="N19" s="8"/>
      <c r="O19" s="8"/>
      <c r="P19" s="8"/>
      <c r="Q19" s="8"/>
      <c r="R19" s="8"/>
      <c r="S19" s="8"/>
      <c r="T19" s="8"/>
      <c r="U19" s="8"/>
      <c r="V19" s="8"/>
    </row>
    <row r="20" spans="2:23" ht="16" thickBot="1" x14ac:dyDescent="0.4">
      <c r="B20" s="335" t="s">
        <v>914</v>
      </c>
      <c r="C20" s="336"/>
      <c r="D20" s="336"/>
      <c r="E20" s="336"/>
      <c r="F20" s="336"/>
      <c r="G20" s="336"/>
      <c r="H20" s="336"/>
      <c r="I20" s="336"/>
      <c r="J20" s="336"/>
      <c r="K20" s="336"/>
      <c r="L20" s="336"/>
      <c r="M20" s="336"/>
      <c r="N20" s="336"/>
      <c r="O20" s="336"/>
      <c r="P20" s="336"/>
      <c r="Q20" s="336"/>
      <c r="R20" s="336"/>
      <c r="S20" s="336"/>
      <c r="T20" s="337"/>
      <c r="U20" s="98"/>
      <c r="V20" s="98"/>
    </row>
    <row r="21" spans="2:23" ht="15" thickBot="1" x14ac:dyDescent="0.4">
      <c r="B21" s="332" t="s">
        <v>779</v>
      </c>
      <c r="C21" s="333"/>
      <c r="D21" s="333"/>
      <c r="E21" s="333"/>
      <c r="F21" s="333"/>
      <c r="G21" s="333"/>
      <c r="H21" s="333"/>
      <c r="I21" s="333"/>
      <c r="J21" s="334"/>
      <c r="L21" s="332" t="s">
        <v>780</v>
      </c>
      <c r="M21" s="333"/>
      <c r="N21" s="333"/>
      <c r="O21" s="333"/>
      <c r="P21" s="333"/>
      <c r="Q21" s="333"/>
      <c r="R21" s="333"/>
      <c r="S21" s="333"/>
      <c r="T21" s="334"/>
      <c r="U21" s="95"/>
      <c r="V21" s="95"/>
      <c r="W21" s="8"/>
    </row>
    <row r="22" spans="2:23" ht="43.5" x14ac:dyDescent="0.35">
      <c r="B22" s="16"/>
      <c r="C22" s="99" t="s">
        <v>19</v>
      </c>
      <c r="D22" s="101" t="s">
        <v>783</v>
      </c>
      <c r="E22" s="102" t="s">
        <v>801</v>
      </c>
      <c r="F22" s="17"/>
      <c r="G22" s="17"/>
      <c r="H22" s="17"/>
      <c r="I22" s="17"/>
      <c r="J22" s="18"/>
      <c r="L22" s="16"/>
      <c r="M22" s="99" t="s">
        <v>19</v>
      </c>
      <c r="N22" s="101" t="s">
        <v>784</v>
      </c>
      <c r="O22" s="102" t="s">
        <v>801</v>
      </c>
      <c r="P22" s="17"/>
      <c r="Q22" s="17"/>
      <c r="R22" s="17"/>
      <c r="S22" s="17"/>
      <c r="T22" s="18"/>
      <c r="U22" s="8"/>
      <c r="V22" s="8"/>
      <c r="W22" s="8"/>
    </row>
    <row r="23" spans="2:23" x14ac:dyDescent="0.35">
      <c r="B23" s="16"/>
      <c r="C23" s="107" t="s">
        <v>768</v>
      </c>
      <c r="D23" s="106">
        <f ca="1">AVERAGEIF(ProductPrice,"beer",PricePerProduct)</f>
        <v>60.727272727272727</v>
      </c>
      <c r="E23" s="237">
        <f ca="1">D23/$D$33</f>
        <v>8.0014222377221417E-2</v>
      </c>
      <c r="F23" s="17"/>
      <c r="G23" s="17"/>
      <c r="H23" s="17"/>
      <c r="I23" s="17"/>
      <c r="J23" s="18"/>
      <c r="L23" s="16"/>
      <c r="M23" s="107" t="s">
        <v>768</v>
      </c>
      <c r="N23" s="105">
        <f ca="1">SUMIF(ProductRevenue,"Beer",RevenuePerUnit)</f>
        <v>538773.02</v>
      </c>
      <c r="O23" s="237">
        <f ca="1">N23/$N$33</f>
        <v>6.3847489312197345E-2</v>
      </c>
      <c r="P23" s="17"/>
      <c r="Q23" s="17"/>
      <c r="R23" s="17"/>
      <c r="S23" s="17"/>
      <c r="T23" s="18"/>
      <c r="U23" s="8"/>
      <c r="V23" s="8"/>
      <c r="W23" s="8"/>
    </row>
    <row r="24" spans="2:23" x14ac:dyDescent="0.35">
      <c r="B24" s="16"/>
      <c r="C24" s="107" t="s">
        <v>769</v>
      </c>
      <c r="D24" s="106">
        <f ca="1">AVERAGEIF(ProductPrice,"Rum",PricePerProduct)</f>
        <v>78.391304347826093</v>
      </c>
      <c r="E24" s="237">
        <f t="shared" ref="E24:E32" ca="1" si="0">D24/$D$33</f>
        <v>0.10328834108353505</v>
      </c>
      <c r="F24" s="17"/>
      <c r="G24" s="17"/>
      <c r="H24" s="17"/>
      <c r="I24" s="17"/>
      <c r="J24" s="18"/>
      <c r="L24" s="16"/>
      <c r="M24" s="107" t="s">
        <v>769</v>
      </c>
      <c r="N24" s="105">
        <f ca="1">SUMIF(ProductRevenue,"Rum",RevenuePerUnit)</f>
        <v>946866.52</v>
      </c>
      <c r="O24" s="237">
        <f t="shared" ref="O24:O32" ca="1" si="1">N24/$N$33</f>
        <v>0.11220875539717541</v>
      </c>
      <c r="P24" s="17"/>
      <c r="Q24" s="17"/>
      <c r="R24" s="17"/>
      <c r="S24" s="17"/>
      <c r="T24" s="18"/>
      <c r="U24" s="8"/>
      <c r="V24" s="8"/>
      <c r="W24" s="8"/>
    </row>
    <row r="25" spans="2:23" x14ac:dyDescent="0.35">
      <c r="B25" s="16"/>
      <c r="C25" s="107" t="s">
        <v>770</v>
      </c>
      <c r="D25" s="106">
        <f ca="1">AVERAGEIF(ProductPrice,"Champagne",PricePerProduct)</f>
        <v>83.047619047619051</v>
      </c>
      <c r="E25" s="237">
        <f t="shared" ca="1" si="0"/>
        <v>0.10942349886545592</v>
      </c>
      <c r="F25" s="17"/>
      <c r="G25" s="17"/>
      <c r="H25" s="17"/>
      <c r="I25" s="17"/>
      <c r="J25" s="18"/>
      <c r="L25" s="16"/>
      <c r="M25" s="107" t="s">
        <v>770</v>
      </c>
      <c r="N25" s="105">
        <f ca="1">SUMIF(ProductRevenue,"Champagne",RevenuePerUnit)</f>
        <v>986745.87</v>
      </c>
      <c r="O25" s="237">
        <f t="shared" ca="1" si="1"/>
        <v>0.11693467202325734</v>
      </c>
      <c r="P25" s="17"/>
      <c r="Q25" s="17"/>
      <c r="R25" s="17"/>
      <c r="S25" s="17"/>
      <c r="T25" s="18"/>
      <c r="U25" s="8"/>
      <c r="V25" s="8"/>
      <c r="W25" s="8"/>
    </row>
    <row r="26" spans="2:23" x14ac:dyDescent="0.35">
      <c r="B26" s="16"/>
      <c r="C26" s="107" t="s">
        <v>771</v>
      </c>
      <c r="D26" s="106">
        <f ca="1">AVERAGEIF(ProductPrice,"Liquer",PricePerProduct)</f>
        <v>89.142857142857139</v>
      </c>
      <c r="E26" s="237">
        <f t="shared" ca="1" si="0"/>
        <v>0.11745458135099396</v>
      </c>
      <c r="F26" s="17"/>
      <c r="G26" s="17"/>
      <c r="H26" s="17"/>
      <c r="I26" s="17"/>
      <c r="J26" s="18"/>
      <c r="L26" s="16"/>
      <c r="M26" s="107" t="s">
        <v>771</v>
      </c>
      <c r="N26" s="105">
        <f ca="1">SUMIF(ProductRevenue,"Liquer",RevenuePerUnit)</f>
        <v>1112570.4699999997</v>
      </c>
      <c r="O26" s="237">
        <f t="shared" ca="1" si="1"/>
        <v>0.13184556122055138</v>
      </c>
      <c r="P26" s="17"/>
      <c r="Q26" s="17"/>
      <c r="R26" s="17"/>
      <c r="S26" s="17"/>
      <c r="T26" s="18"/>
      <c r="U26" s="8"/>
      <c r="V26" s="8"/>
      <c r="W26" s="8"/>
    </row>
    <row r="27" spans="2:23" x14ac:dyDescent="0.35">
      <c r="B27" s="16"/>
      <c r="C27" s="107" t="s">
        <v>772</v>
      </c>
      <c r="D27" s="106">
        <f ca="1">AVERAGEIF(ProductPrice,"Vodka",PricePerProduct)</f>
        <v>72.114285714285714</v>
      </c>
      <c r="E27" s="237">
        <f t="shared" ca="1" si="0"/>
        <v>9.5017744657022049E-2</v>
      </c>
      <c r="F27" s="17"/>
      <c r="G27" s="17"/>
      <c r="H27" s="17"/>
      <c r="I27" s="17"/>
      <c r="J27" s="18"/>
      <c r="L27" s="16"/>
      <c r="M27" s="107" t="s">
        <v>772</v>
      </c>
      <c r="N27" s="105">
        <f ca="1">SUMIF(ProductRevenue,"Vodka",RevenuePerUnit)</f>
        <v>667488.94999999995</v>
      </c>
      <c r="O27" s="237">
        <f t="shared" ca="1" si="1"/>
        <v>7.910101660460804E-2</v>
      </c>
      <c r="P27" s="17"/>
      <c r="Q27" s="17"/>
      <c r="R27" s="17"/>
      <c r="S27" s="17"/>
      <c r="T27" s="18"/>
      <c r="U27" s="8"/>
      <c r="V27" s="8"/>
      <c r="W27" s="8"/>
    </row>
    <row r="28" spans="2:23" x14ac:dyDescent="0.35">
      <c r="B28" s="16"/>
      <c r="C28" s="107" t="s">
        <v>773</v>
      </c>
      <c r="D28" s="106">
        <f ca="1">AVERAGEIF(ProductPrice,"Gin",PricePerProduct)</f>
        <v>67.682926829268297</v>
      </c>
      <c r="E28" s="237">
        <f t="shared" ca="1" si="0"/>
        <v>8.9178988537486625E-2</v>
      </c>
      <c r="F28" s="17"/>
      <c r="G28" s="17"/>
      <c r="H28" s="17"/>
      <c r="I28" s="17"/>
      <c r="J28" s="18"/>
      <c r="L28" s="16"/>
      <c r="M28" s="107" t="s">
        <v>773</v>
      </c>
      <c r="N28" s="105">
        <f ca="1">SUMIF(ProductRevenue,"Gin",RevenuePerUnit)</f>
        <v>813313.8400000002</v>
      </c>
      <c r="O28" s="237">
        <f t="shared" ca="1" si="1"/>
        <v>9.6382047317184125E-2</v>
      </c>
      <c r="P28" s="17"/>
      <c r="Q28" s="17"/>
      <c r="R28" s="17"/>
      <c r="S28" s="17"/>
      <c r="T28" s="18"/>
      <c r="U28" s="8"/>
      <c r="V28" s="8"/>
      <c r="W28" s="8"/>
    </row>
    <row r="29" spans="2:23" x14ac:dyDescent="0.35">
      <c r="B29" s="16"/>
      <c r="C29" s="107" t="s">
        <v>774</v>
      </c>
      <c r="D29" s="106">
        <f ca="1">AVERAGEIF(ProductPrice,"Whiskey",PricePerProduct)</f>
        <v>77.161290322580641</v>
      </c>
      <c r="E29" s="237">
        <f t="shared" ca="1" si="0"/>
        <v>0.10166767525543026</v>
      </c>
      <c r="F29" s="17"/>
      <c r="G29" s="17"/>
      <c r="H29" s="17"/>
      <c r="I29" s="17"/>
      <c r="J29" s="18"/>
      <c r="L29" s="16"/>
      <c r="M29" s="107" t="s">
        <v>774</v>
      </c>
      <c r="N29" s="105">
        <f ca="1">SUMIF(ProductRevenue,"Whiskey",RevenuePerUnit)</f>
        <v>716639.29000000015</v>
      </c>
      <c r="O29" s="237">
        <f t="shared" ca="1" si="1"/>
        <v>8.4925595214429453E-2</v>
      </c>
      <c r="P29" s="17"/>
      <c r="Q29" s="17"/>
      <c r="R29" s="17"/>
      <c r="S29" s="17"/>
      <c r="T29" s="18"/>
      <c r="U29" s="8"/>
      <c r="V29" s="8"/>
      <c r="W29" s="8"/>
    </row>
    <row r="30" spans="2:23" x14ac:dyDescent="0.35">
      <c r="B30" s="16"/>
      <c r="C30" s="107" t="s">
        <v>775</v>
      </c>
      <c r="D30" s="106">
        <f ca="1">AVERAGEIF(ProductPrice,"Wine",PricePerProduct)</f>
        <v>92.461538461538467</v>
      </c>
      <c r="E30" s="237">
        <f t="shared" ca="1" si="0"/>
        <v>0.12182727409852852</v>
      </c>
      <c r="F30" s="17"/>
      <c r="G30" s="17"/>
      <c r="H30" s="17"/>
      <c r="I30" s="17"/>
      <c r="J30" s="18"/>
      <c r="L30" s="16"/>
      <c r="M30" s="107" t="s">
        <v>775</v>
      </c>
      <c r="N30" s="105">
        <f ca="1">SUMIF(ProductRevenue,"Wine",RevenuePerUnit)</f>
        <v>703112.82999999984</v>
      </c>
      <c r="O30" s="237">
        <f t="shared" ca="1" si="1"/>
        <v>8.3322637237280034E-2</v>
      </c>
      <c r="P30" s="17"/>
      <c r="Q30" s="17"/>
      <c r="R30" s="17"/>
      <c r="S30" s="17"/>
      <c r="T30" s="18"/>
      <c r="U30" s="8"/>
      <c r="V30" s="8"/>
      <c r="W30" s="8"/>
    </row>
    <row r="31" spans="2:23" x14ac:dyDescent="0.35">
      <c r="B31" s="16"/>
      <c r="C31" s="107" t="s">
        <v>776</v>
      </c>
      <c r="D31" s="106">
        <f ca="1">AVERAGEIF(ProductPrice,"Cognac",PricePerProduct)</f>
        <v>74.159090909090907</v>
      </c>
      <c r="E31" s="237">
        <f t="shared" ca="1" si="0"/>
        <v>9.7711978898530491E-2</v>
      </c>
      <c r="F31" s="17"/>
      <c r="G31" s="17"/>
      <c r="H31" s="17"/>
      <c r="I31" s="17"/>
      <c r="J31" s="18"/>
      <c r="L31" s="16"/>
      <c r="M31" s="107" t="s">
        <v>776</v>
      </c>
      <c r="N31" s="105">
        <f ca="1">SUMIF(ProductRevenue,"Cognac",RevenuePerUnit)</f>
        <v>876417.12000000011</v>
      </c>
      <c r="O31" s="237">
        <f t="shared" ca="1" si="1"/>
        <v>0.10386012406899436</v>
      </c>
      <c r="P31" s="17"/>
      <c r="Q31" s="17"/>
      <c r="R31" s="17"/>
      <c r="S31" s="17"/>
      <c r="T31" s="18"/>
      <c r="U31" s="8"/>
      <c r="V31" s="8"/>
      <c r="W31" s="8"/>
    </row>
    <row r="32" spans="2:23" x14ac:dyDescent="0.35">
      <c r="B32" s="16"/>
      <c r="C32" s="107" t="s">
        <v>777</v>
      </c>
      <c r="D32" s="106">
        <f ca="1">AVERAGEIF(ProductPrice,"Brandy",PricePerProduct)</f>
        <v>64.067796610169495</v>
      </c>
      <c r="E32" s="237">
        <f t="shared" ca="1" si="0"/>
        <v>8.4415694875795866E-2</v>
      </c>
      <c r="F32" s="17"/>
      <c r="G32" s="17"/>
      <c r="H32" s="17"/>
      <c r="I32" s="17"/>
      <c r="J32" s="18"/>
      <c r="L32" s="16"/>
      <c r="M32" s="107" t="s">
        <v>777</v>
      </c>
      <c r="N32" s="105">
        <f ca="1">SUMIF(ProductRevenue,"Brandy",RevenuePerUnit)</f>
        <v>1076509.1499999999</v>
      </c>
      <c r="O32" s="237">
        <f t="shared" ca="1" si="1"/>
        <v>0.12757210160432242</v>
      </c>
      <c r="P32" s="17"/>
      <c r="Q32" s="17"/>
      <c r="R32" s="17"/>
      <c r="S32" s="17"/>
      <c r="T32" s="18"/>
      <c r="U32" s="8"/>
      <c r="V32" s="8"/>
      <c r="W32" s="8"/>
    </row>
    <row r="33" spans="2:23" x14ac:dyDescent="0.35">
      <c r="B33" s="16"/>
      <c r="C33" s="226" t="s">
        <v>802</v>
      </c>
      <c r="D33" s="230">
        <f ca="1">SUM(D23:D32)</f>
        <v>758.95598211250842</v>
      </c>
      <c r="E33" s="251"/>
      <c r="F33" s="17"/>
      <c r="G33" s="17"/>
      <c r="H33" s="17"/>
      <c r="I33" s="17"/>
      <c r="J33" s="18"/>
      <c r="L33" s="16"/>
      <c r="M33" s="226" t="s">
        <v>802</v>
      </c>
      <c r="N33" s="227">
        <f ca="1">SUM(N23:N32)</f>
        <v>8438437.0600000005</v>
      </c>
      <c r="O33" s="251"/>
      <c r="P33" s="17"/>
      <c r="Q33" s="17"/>
      <c r="R33" s="17"/>
      <c r="S33" s="17"/>
      <c r="T33" s="18"/>
      <c r="U33" s="8"/>
      <c r="V33" s="8"/>
      <c r="W33" s="8"/>
    </row>
    <row r="34" spans="2:23" ht="15" thickBot="1" x14ac:dyDescent="0.4">
      <c r="B34" s="21"/>
      <c r="C34" s="22"/>
      <c r="D34" s="22"/>
      <c r="E34" s="22"/>
      <c r="F34" s="22"/>
      <c r="G34" s="22"/>
      <c r="H34" s="22"/>
      <c r="I34" s="22"/>
      <c r="J34" s="23"/>
      <c r="L34" s="21"/>
      <c r="M34" s="22"/>
      <c r="N34" s="22"/>
      <c r="O34" s="22"/>
      <c r="P34" s="22"/>
      <c r="Q34" s="22"/>
      <c r="R34" s="22"/>
      <c r="S34" s="22"/>
      <c r="T34" s="23"/>
      <c r="U34" s="8"/>
      <c r="V34" s="8"/>
      <c r="W34" s="8"/>
    </row>
    <row r="35" spans="2:23" x14ac:dyDescent="0.35">
      <c r="M35" s="8"/>
      <c r="N35" s="8"/>
      <c r="O35" s="8"/>
      <c r="P35" s="8"/>
      <c r="Q35" s="8"/>
      <c r="R35" s="8"/>
      <c r="S35" s="8"/>
      <c r="T35" s="8"/>
      <c r="U35" s="8"/>
      <c r="V35" s="8"/>
      <c r="W35" s="8"/>
    </row>
  </sheetData>
  <mergeCells count="7">
    <mergeCell ref="B2:T2"/>
    <mergeCell ref="L21:T21"/>
    <mergeCell ref="B20:T20"/>
    <mergeCell ref="B4:T4"/>
    <mergeCell ref="B5:J5"/>
    <mergeCell ref="L5:T5"/>
    <mergeCell ref="B21:J2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7" tint="0.59999389629810485"/>
  </sheetPr>
  <dimension ref="A2:AA401"/>
  <sheetViews>
    <sheetView zoomScale="90" zoomScaleNormal="90" workbookViewId="0">
      <selection activeCell="J13" sqref="J13"/>
    </sheetView>
  </sheetViews>
  <sheetFormatPr defaultRowHeight="14.5" x14ac:dyDescent="0.35"/>
  <cols>
    <col min="1" max="1" width="4.453125" customWidth="1"/>
    <col min="2" max="2" width="12.08984375" customWidth="1"/>
    <col min="3" max="3" width="11.7265625" bestFit="1" customWidth="1"/>
    <col min="4" max="4" width="11.1796875" bestFit="1" customWidth="1"/>
    <col min="5" max="5" width="14.54296875" bestFit="1" customWidth="1"/>
    <col min="6" max="6" width="6.1796875" customWidth="1"/>
    <col min="7" max="7" width="13.08984375" customWidth="1"/>
    <col min="8" max="8" width="13.453125" customWidth="1"/>
    <col min="9" max="13" width="16.81640625" customWidth="1"/>
    <col min="14" max="14" width="5.81640625" customWidth="1"/>
    <col min="15" max="15" width="12.54296875" bestFit="1" customWidth="1"/>
  </cols>
  <sheetData>
    <row r="2" spans="1:27" ht="23.5" x14ac:dyDescent="0.35">
      <c r="A2" s="12"/>
      <c r="B2" s="326" t="s">
        <v>807</v>
      </c>
      <c r="C2" s="327"/>
      <c r="D2" s="327"/>
      <c r="E2" s="327"/>
      <c r="F2" s="327"/>
      <c r="G2" s="327"/>
      <c r="H2" s="327"/>
      <c r="I2" s="327"/>
      <c r="J2" s="327"/>
      <c r="K2" s="327"/>
      <c r="L2" s="327"/>
      <c r="M2" s="327"/>
      <c r="N2" s="327"/>
      <c r="O2" s="327"/>
      <c r="P2" s="327"/>
      <c r="Q2" s="328"/>
      <c r="T2" s="87"/>
    </row>
    <row r="3" spans="1:27" ht="15" thickBot="1" x14ac:dyDescent="0.4">
      <c r="A3" s="1"/>
      <c r="B3" s="91"/>
      <c r="C3" s="91"/>
      <c r="D3" s="91"/>
      <c r="E3" s="91"/>
      <c r="F3" s="91"/>
      <c r="G3" s="91"/>
      <c r="H3" s="91"/>
      <c r="I3" s="91"/>
      <c r="J3" s="91"/>
      <c r="K3" s="91"/>
      <c r="L3" s="91"/>
      <c r="M3" s="91"/>
      <c r="N3" s="91"/>
      <c r="O3" s="92"/>
      <c r="P3" s="92"/>
      <c r="Q3" s="92"/>
      <c r="R3" s="92"/>
      <c r="S3" s="92"/>
      <c r="T3" s="92"/>
      <c r="U3" s="92"/>
      <c r="V3" s="92"/>
      <c r="W3" s="92"/>
      <c r="X3" s="92"/>
      <c r="Y3" s="92"/>
      <c r="Z3" s="92"/>
      <c r="AA3" s="4"/>
    </row>
    <row r="4" spans="1:27" ht="15.5" x14ac:dyDescent="0.35">
      <c r="A4" s="1"/>
      <c r="B4" s="192" t="s">
        <v>796</v>
      </c>
      <c r="C4" s="193" t="s">
        <v>766</v>
      </c>
      <c r="D4" s="193" t="s">
        <v>767</v>
      </c>
      <c r="E4" s="194" t="s">
        <v>759</v>
      </c>
      <c r="F4" s="91"/>
      <c r="G4" s="173"/>
      <c r="H4" s="152" t="s">
        <v>796</v>
      </c>
      <c r="I4" s="131" t="s">
        <v>806</v>
      </c>
      <c r="O4" s="13"/>
      <c r="P4" s="146"/>
      <c r="Q4" s="147"/>
      <c r="R4" s="92"/>
      <c r="S4" s="92"/>
      <c r="T4" s="92"/>
      <c r="U4" s="92"/>
      <c r="V4" s="92"/>
      <c r="W4" s="92"/>
      <c r="X4" s="92"/>
      <c r="Y4" s="92"/>
      <c r="Z4" s="92"/>
      <c r="AA4" s="90"/>
    </row>
    <row r="5" spans="1:27" ht="18" customHeight="1" x14ac:dyDescent="0.35">
      <c r="A5" s="1"/>
      <c r="B5" s="109" t="s">
        <v>797</v>
      </c>
      <c r="C5" s="110" t="s">
        <v>785</v>
      </c>
      <c r="D5" s="117">
        <v>301730</v>
      </c>
      <c r="E5" s="252">
        <v>1853</v>
      </c>
      <c r="F5" s="91"/>
      <c r="G5" s="116"/>
      <c r="H5" s="127" t="s">
        <v>803</v>
      </c>
      <c r="I5" s="127"/>
      <c r="J5" s="124" t="s">
        <v>798</v>
      </c>
      <c r="K5" s="125"/>
      <c r="L5" s="126" t="s">
        <v>797</v>
      </c>
      <c r="M5" s="125"/>
      <c r="O5" s="16"/>
      <c r="P5" s="148"/>
      <c r="Q5" s="149"/>
      <c r="R5" s="92"/>
      <c r="S5" s="138"/>
      <c r="T5" s="92"/>
      <c r="U5" s="92"/>
      <c r="V5" s="92"/>
      <c r="W5" s="92"/>
      <c r="X5" s="92"/>
      <c r="Y5" s="92"/>
      <c r="Z5" s="92"/>
      <c r="AA5" s="90"/>
    </row>
    <row r="6" spans="1:27" x14ac:dyDescent="0.35">
      <c r="A6" s="1"/>
      <c r="B6" s="111" t="s">
        <v>797</v>
      </c>
      <c r="C6" s="112" t="s">
        <v>786</v>
      </c>
      <c r="D6" s="118">
        <v>222997</v>
      </c>
      <c r="E6" s="253">
        <v>1845</v>
      </c>
      <c r="F6" s="91"/>
      <c r="G6" s="130" t="s">
        <v>766</v>
      </c>
      <c r="H6" s="128" t="s">
        <v>804</v>
      </c>
      <c r="I6" s="129" t="s">
        <v>805</v>
      </c>
      <c r="J6" s="128" t="s">
        <v>804</v>
      </c>
      <c r="K6" s="129" t="s">
        <v>805</v>
      </c>
      <c r="L6" s="128" t="s">
        <v>804</v>
      </c>
      <c r="M6" s="129" t="s">
        <v>805</v>
      </c>
      <c r="O6" s="16"/>
      <c r="P6" s="148"/>
      <c r="Q6" s="149"/>
      <c r="R6" s="92"/>
      <c r="S6" s="92"/>
      <c r="T6" s="92"/>
      <c r="U6" s="92"/>
      <c r="V6" s="92"/>
      <c r="W6" s="92"/>
      <c r="X6" s="92"/>
      <c r="Y6" s="92"/>
      <c r="Z6" s="92"/>
      <c r="AA6" s="90"/>
    </row>
    <row r="7" spans="1:27" x14ac:dyDescent="0.35">
      <c r="A7" s="1"/>
      <c r="B7" s="111" t="s">
        <v>797</v>
      </c>
      <c r="C7" s="112" t="s">
        <v>787</v>
      </c>
      <c r="D7" s="118">
        <v>190628</v>
      </c>
      <c r="E7" s="253">
        <v>2865</v>
      </c>
      <c r="F7" s="91"/>
      <c r="G7" s="132" t="s">
        <v>785</v>
      </c>
      <c r="H7" s="135">
        <v>276801</v>
      </c>
      <c r="I7" s="118">
        <v>261.13301886792453</v>
      </c>
      <c r="J7" s="118">
        <v>189276</v>
      </c>
      <c r="K7" s="118">
        <v>77.255510204081631</v>
      </c>
      <c r="L7" s="118">
        <v>301730</v>
      </c>
      <c r="M7" s="119">
        <v>162.83324338909875</v>
      </c>
      <c r="O7" s="16"/>
      <c r="P7" s="148"/>
      <c r="Q7" s="149"/>
      <c r="R7" s="92"/>
      <c r="S7" s="92"/>
      <c r="T7" s="92"/>
      <c r="U7" s="92"/>
      <c r="V7" s="92"/>
      <c r="W7" s="92"/>
      <c r="X7" s="92"/>
      <c r="Y7" s="92"/>
      <c r="Z7" s="92"/>
      <c r="AA7" s="90"/>
    </row>
    <row r="8" spans="1:27" x14ac:dyDescent="0.35">
      <c r="A8" s="1"/>
      <c r="B8" s="111" t="s">
        <v>797</v>
      </c>
      <c r="C8" s="112" t="s">
        <v>788</v>
      </c>
      <c r="D8" s="118">
        <v>170727</v>
      </c>
      <c r="E8" s="253">
        <v>1599</v>
      </c>
      <c r="F8" s="91"/>
      <c r="G8" s="132" t="s">
        <v>786</v>
      </c>
      <c r="H8" s="135">
        <v>164630</v>
      </c>
      <c r="I8" s="118">
        <v>66.597896440129446</v>
      </c>
      <c r="J8" s="118">
        <v>182635</v>
      </c>
      <c r="K8" s="118">
        <v>44.862441660525668</v>
      </c>
      <c r="L8" s="118">
        <v>222997</v>
      </c>
      <c r="M8" s="119">
        <v>120.86558265582656</v>
      </c>
      <c r="O8" s="16"/>
      <c r="P8" s="148"/>
      <c r="Q8" s="149"/>
      <c r="R8" s="92"/>
      <c r="S8" s="92"/>
      <c r="T8" s="92"/>
      <c r="U8" s="92"/>
      <c r="V8" s="92"/>
      <c r="W8" s="92"/>
      <c r="X8" s="92"/>
      <c r="Y8" s="92"/>
      <c r="Z8" s="92"/>
      <c r="AA8" s="90"/>
    </row>
    <row r="9" spans="1:27" x14ac:dyDescent="0.35">
      <c r="A9" s="1"/>
      <c r="B9" s="111" t="s">
        <v>797</v>
      </c>
      <c r="C9" s="112" t="s">
        <v>762</v>
      </c>
      <c r="D9" s="118">
        <v>275106</v>
      </c>
      <c r="E9" s="253">
        <v>2790</v>
      </c>
      <c r="F9" s="91"/>
      <c r="G9" s="132" t="s">
        <v>787</v>
      </c>
      <c r="H9" s="135">
        <v>237568</v>
      </c>
      <c r="I9" s="118">
        <v>94.273015873015879</v>
      </c>
      <c r="J9" s="118">
        <v>151973</v>
      </c>
      <c r="K9" s="118">
        <v>79.943713834823782</v>
      </c>
      <c r="L9" s="118">
        <v>190628</v>
      </c>
      <c r="M9" s="119">
        <v>66.536823734729495</v>
      </c>
      <c r="O9" s="16"/>
      <c r="P9" s="148"/>
      <c r="Q9" s="149"/>
      <c r="R9" s="92"/>
      <c r="S9" s="92"/>
      <c r="T9" s="92"/>
      <c r="U9" s="92"/>
      <c r="V9" s="92"/>
      <c r="W9" s="92"/>
      <c r="X9" s="92"/>
      <c r="Y9" s="92"/>
      <c r="Z9" s="92"/>
      <c r="AA9" s="90"/>
    </row>
    <row r="10" spans="1:27" x14ac:dyDescent="0.35">
      <c r="A10" s="1"/>
      <c r="B10" s="111" t="s">
        <v>797</v>
      </c>
      <c r="C10" s="112" t="s">
        <v>789</v>
      </c>
      <c r="D10" s="118">
        <v>306023</v>
      </c>
      <c r="E10" s="253">
        <v>4592</v>
      </c>
      <c r="F10" s="91"/>
      <c r="G10" s="133" t="s">
        <v>817</v>
      </c>
      <c r="H10" s="136">
        <v>678999</v>
      </c>
      <c r="I10" s="120">
        <v>112.19415069398546</v>
      </c>
      <c r="J10" s="120">
        <v>523884</v>
      </c>
      <c r="K10" s="120">
        <v>62.204227024459747</v>
      </c>
      <c r="L10" s="120">
        <v>715355</v>
      </c>
      <c r="M10" s="121">
        <v>108.99817156788055</v>
      </c>
      <c r="O10" s="16"/>
      <c r="P10" s="148"/>
      <c r="Q10" s="149"/>
      <c r="R10" s="92"/>
      <c r="S10" s="92"/>
      <c r="T10" s="92"/>
      <c r="U10" s="92"/>
      <c r="V10" s="92"/>
      <c r="W10" s="92"/>
      <c r="X10" s="92"/>
      <c r="Y10" s="92"/>
      <c r="Z10" s="92"/>
      <c r="AA10" s="90"/>
    </row>
    <row r="11" spans="1:27" x14ac:dyDescent="0.35">
      <c r="A11" s="1"/>
      <c r="B11" s="111" t="s">
        <v>797</v>
      </c>
      <c r="C11" s="112" t="s">
        <v>790</v>
      </c>
      <c r="D11" s="118">
        <v>259096</v>
      </c>
      <c r="E11" s="253">
        <v>2041</v>
      </c>
      <c r="F11" s="91"/>
      <c r="G11" s="132" t="s">
        <v>788</v>
      </c>
      <c r="H11" s="135">
        <v>241053</v>
      </c>
      <c r="I11" s="118">
        <v>68.990555237550083</v>
      </c>
      <c r="J11" s="118">
        <v>297738</v>
      </c>
      <c r="K11" s="118">
        <v>113.94489092996555</v>
      </c>
      <c r="L11" s="118">
        <v>170727</v>
      </c>
      <c r="M11" s="119">
        <v>106.77110694183865</v>
      </c>
      <c r="O11" s="16"/>
      <c r="P11" s="148"/>
      <c r="Q11" s="149"/>
      <c r="R11" s="92"/>
      <c r="S11" s="92"/>
      <c r="T11" s="92"/>
      <c r="U11" s="92"/>
      <c r="V11" s="92"/>
      <c r="W11" s="92"/>
      <c r="X11" s="92"/>
      <c r="Y11" s="92"/>
      <c r="Z11" s="92"/>
      <c r="AA11" s="90"/>
    </row>
    <row r="12" spans="1:27" x14ac:dyDescent="0.35">
      <c r="A12" s="1"/>
      <c r="B12" s="111" t="s">
        <v>797</v>
      </c>
      <c r="C12" s="112" t="s">
        <v>791</v>
      </c>
      <c r="D12" s="118">
        <v>252742</v>
      </c>
      <c r="E12" s="253">
        <v>2771</v>
      </c>
      <c r="F12" s="91"/>
      <c r="G12" s="132" t="s">
        <v>762</v>
      </c>
      <c r="H12" s="135">
        <v>162256</v>
      </c>
      <c r="I12" s="118">
        <v>43.268266666666669</v>
      </c>
      <c r="J12" s="118">
        <v>232284</v>
      </c>
      <c r="K12" s="118">
        <v>216.07813953488372</v>
      </c>
      <c r="L12" s="118">
        <v>275106</v>
      </c>
      <c r="M12" s="119">
        <v>98.604301075268822</v>
      </c>
      <c r="O12" s="16"/>
      <c r="P12" s="148"/>
      <c r="Q12" s="149"/>
      <c r="R12" s="92"/>
      <c r="S12" s="92"/>
      <c r="T12" s="92"/>
      <c r="U12" s="92"/>
      <c r="V12" s="92"/>
      <c r="W12" s="92"/>
      <c r="X12" s="92"/>
      <c r="Y12" s="92"/>
      <c r="Z12" s="92"/>
      <c r="AA12" s="90"/>
    </row>
    <row r="13" spans="1:27" x14ac:dyDescent="0.35">
      <c r="A13" s="1"/>
      <c r="B13" s="111" t="s">
        <v>797</v>
      </c>
      <c r="C13" s="112" t="s">
        <v>792</v>
      </c>
      <c r="D13" s="118">
        <v>187474</v>
      </c>
      <c r="E13" s="253">
        <v>3819</v>
      </c>
      <c r="F13" s="91"/>
      <c r="G13" s="132" t="s">
        <v>789</v>
      </c>
      <c r="H13" s="135">
        <v>185111</v>
      </c>
      <c r="I13" s="118">
        <v>93.917300862506337</v>
      </c>
      <c r="J13" s="118">
        <v>178678</v>
      </c>
      <c r="K13" s="118">
        <v>245.10013717421126</v>
      </c>
      <c r="L13" s="118">
        <v>306023</v>
      </c>
      <c r="M13" s="119">
        <v>66.642639372822302</v>
      </c>
      <c r="O13" s="16"/>
      <c r="P13" s="148"/>
      <c r="Q13" s="149"/>
      <c r="R13" s="92"/>
      <c r="S13" s="92"/>
      <c r="T13" s="92"/>
      <c r="U13" s="92"/>
      <c r="V13" s="92"/>
      <c r="W13" s="92"/>
      <c r="X13" s="92"/>
      <c r="Y13" s="92"/>
      <c r="Z13" s="92"/>
      <c r="AA13" s="90"/>
    </row>
    <row r="14" spans="1:27" x14ac:dyDescent="0.35">
      <c r="A14" s="1"/>
      <c r="B14" s="111" t="s">
        <v>797</v>
      </c>
      <c r="C14" s="112" t="s">
        <v>793</v>
      </c>
      <c r="D14" s="118">
        <v>270859</v>
      </c>
      <c r="E14" s="253">
        <v>2374</v>
      </c>
      <c r="F14" s="91"/>
      <c r="G14" s="133" t="s">
        <v>818</v>
      </c>
      <c r="H14" s="136">
        <v>588420</v>
      </c>
      <c r="I14" s="120">
        <v>63.854584915897995</v>
      </c>
      <c r="J14" s="120">
        <v>708700</v>
      </c>
      <c r="K14" s="120">
        <v>160.4482680552411</v>
      </c>
      <c r="L14" s="120">
        <v>751856</v>
      </c>
      <c r="M14" s="121">
        <v>83.71628994544038</v>
      </c>
      <c r="O14" s="16"/>
      <c r="P14" s="148"/>
      <c r="Q14" s="149"/>
      <c r="R14" s="92"/>
      <c r="S14" s="92"/>
      <c r="T14" s="92"/>
      <c r="U14" s="92"/>
      <c r="V14" s="92"/>
      <c r="W14" s="92"/>
      <c r="X14" s="92"/>
      <c r="Y14" s="92"/>
      <c r="Z14" s="92"/>
      <c r="AA14" s="90"/>
    </row>
    <row r="15" spans="1:27" x14ac:dyDescent="0.35">
      <c r="A15" s="1"/>
      <c r="B15" s="111" t="s">
        <v>797</v>
      </c>
      <c r="C15" s="112" t="s">
        <v>794</v>
      </c>
      <c r="D15" s="118">
        <v>195094</v>
      </c>
      <c r="E15" s="253">
        <v>4115</v>
      </c>
      <c r="F15" s="91"/>
      <c r="G15" s="132" t="s">
        <v>790</v>
      </c>
      <c r="H15" s="135">
        <v>348427</v>
      </c>
      <c r="I15" s="118">
        <v>449.58322580645159</v>
      </c>
      <c r="J15" s="118">
        <v>205420</v>
      </c>
      <c r="K15" s="118">
        <v>41.888254486133768</v>
      </c>
      <c r="L15" s="118">
        <v>259096</v>
      </c>
      <c r="M15" s="119">
        <v>126.94561489465949</v>
      </c>
      <c r="O15" s="16"/>
      <c r="P15" s="148"/>
      <c r="Q15" s="149"/>
      <c r="R15" s="92"/>
      <c r="S15" s="92"/>
      <c r="T15" s="92"/>
      <c r="U15" s="92"/>
      <c r="V15" s="92"/>
      <c r="W15" s="92"/>
      <c r="X15" s="92"/>
      <c r="Y15" s="92"/>
      <c r="Z15" s="92"/>
      <c r="AA15" s="90"/>
    </row>
    <row r="16" spans="1:27" x14ac:dyDescent="0.35">
      <c r="A16" s="1"/>
      <c r="B16" s="111" t="s">
        <v>797</v>
      </c>
      <c r="C16" s="112" t="s">
        <v>795</v>
      </c>
      <c r="D16" s="118">
        <v>251324</v>
      </c>
      <c r="E16" s="253">
        <v>519</v>
      </c>
      <c r="F16" s="91"/>
      <c r="G16" s="132" t="s">
        <v>791</v>
      </c>
      <c r="H16" s="135">
        <v>229450</v>
      </c>
      <c r="I16" s="118">
        <v>301.90789473684208</v>
      </c>
      <c r="J16" s="118">
        <v>274089</v>
      </c>
      <c r="K16" s="118">
        <v>215.47877358490567</v>
      </c>
      <c r="L16" s="118">
        <v>252742</v>
      </c>
      <c r="M16" s="119">
        <v>91.209671598700837</v>
      </c>
      <c r="O16" s="16"/>
      <c r="P16" s="148"/>
      <c r="Q16" s="149"/>
      <c r="R16" s="92"/>
      <c r="S16" s="92"/>
      <c r="T16" s="92"/>
      <c r="U16" s="92"/>
      <c r="V16" s="92"/>
      <c r="W16" s="92"/>
      <c r="X16" s="92"/>
      <c r="Y16" s="92"/>
      <c r="Z16" s="92"/>
      <c r="AA16" s="90"/>
    </row>
    <row r="17" spans="1:27" x14ac:dyDescent="0.35">
      <c r="A17" s="1"/>
      <c r="B17" s="111" t="s">
        <v>798</v>
      </c>
      <c r="C17" s="112" t="s">
        <v>785</v>
      </c>
      <c r="D17" s="118">
        <v>189276</v>
      </c>
      <c r="E17" s="253">
        <v>2450</v>
      </c>
      <c r="F17" s="91"/>
      <c r="G17" s="132" t="s">
        <v>792</v>
      </c>
      <c r="H17" s="135">
        <v>311776</v>
      </c>
      <c r="I17" s="118">
        <v>105.65096577431379</v>
      </c>
      <c r="J17" s="118">
        <v>317175</v>
      </c>
      <c r="K17" s="118">
        <v>161.57666836474783</v>
      </c>
      <c r="L17" s="118">
        <v>187474</v>
      </c>
      <c r="M17" s="119">
        <v>49.089814087457448</v>
      </c>
      <c r="O17" s="16"/>
      <c r="P17" s="148"/>
      <c r="Q17" s="149"/>
      <c r="R17" s="92"/>
      <c r="S17" s="92"/>
      <c r="T17" s="92"/>
      <c r="U17" s="92"/>
      <c r="V17" s="92"/>
      <c r="W17" s="92"/>
      <c r="X17" s="92"/>
      <c r="Y17" s="92"/>
      <c r="Z17" s="92"/>
      <c r="AA17" s="90"/>
    </row>
    <row r="18" spans="1:27" x14ac:dyDescent="0.35">
      <c r="A18" s="1"/>
      <c r="B18" s="111" t="s">
        <v>798</v>
      </c>
      <c r="C18" s="112" t="s">
        <v>786</v>
      </c>
      <c r="D18" s="118">
        <v>182635</v>
      </c>
      <c r="E18" s="253">
        <v>4071</v>
      </c>
      <c r="F18" s="91"/>
      <c r="G18" s="133" t="s">
        <v>819</v>
      </c>
      <c r="H18" s="136">
        <v>889653</v>
      </c>
      <c r="I18" s="120">
        <v>198.3176549264378</v>
      </c>
      <c r="J18" s="120">
        <v>796684</v>
      </c>
      <c r="K18" s="120">
        <v>97.884752426588037</v>
      </c>
      <c r="L18" s="120">
        <v>699312</v>
      </c>
      <c r="M18" s="121">
        <v>81.023288147375737</v>
      </c>
      <c r="O18" s="16"/>
      <c r="P18" s="148"/>
      <c r="Q18" s="149"/>
      <c r="R18" s="92"/>
      <c r="S18" s="92"/>
      <c r="T18" s="92"/>
      <c r="U18" s="92"/>
      <c r="V18" s="92"/>
      <c r="W18" s="92"/>
      <c r="X18" s="92"/>
      <c r="Y18" s="92"/>
      <c r="Z18" s="92"/>
      <c r="AA18" s="90"/>
    </row>
    <row r="19" spans="1:27" x14ac:dyDescent="0.35">
      <c r="A19" s="1"/>
      <c r="B19" s="111" t="s">
        <v>798</v>
      </c>
      <c r="C19" s="112" t="s">
        <v>787</v>
      </c>
      <c r="D19" s="118">
        <v>151973</v>
      </c>
      <c r="E19" s="253">
        <v>1901</v>
      </c>
      <c r="F19" s="91"/>
      <c r="G19" s="132" t="s">
        <v>793</v>
      </c>
      <c r="H19" s="135">
        <v>190984</v>
      </c>
      <c r="I19" s="118">
        <v>103.8520935290919</v>
      </c>
      <c r="J19" s="118">
        <v>198789</v>
      </c>
      <c r="K19" s="118">
        <v>62.39453860640301</v>
      </c>
      <c r="L19" s="118">
        <v>270859</v>
      </c>
      <c r="M19" s="119">
        <v>114.09393428812132</v>
      </c>
      <c r="O19" s="16"/>
      <c r="P19" s="148"/>
      <c r="Q19" s="149"/>
      <c r="R19" s="92"/>
      <c r="S19" s="92"/>
      <c r="T19" s="92"/>
      <c r="U19" s="92"/>
      <c r="V19" s="92"/>
      <c r="W19" s="92"/>
      <c r="X19" s="92"/>
      <c r="Y19" s="92"/>
      <c r="Z19" s="92"/>
      <c r="AA19" s="90"/>
    </row>
    <row r="20" spans="1:27" x14ac:dyDescent="0.35">
      <c r="A20" s="1"/>
      <c r="B20" s="111" t="s">
        <v>798</v>
      </c>
      <c r="C20" s="112" t="s">
        <v>788</v>
      </c>
      <c r="D20" s="118">
        <v>297738</v>
      </c>
      <c r="E20" s="253">
        <v>2613</v>
      </c>
      <c r="F20" s="91"/>
      <c r="G20" s="132" t="s">
        <v>794</v>
      </c>
      <c r="H20" s="135">
        <v>229202</v>
      </c>
      <c r="I20" s="118">
        <v>60.427629844450301</v>
      </c>
      <c r="J20" s="118">
        <v>181078</v>
      </c>
      <c r="K20" s="118">
        <v>159.39964788732394</v>
      </c>
      <c r="L20" s="118">
        <v>195094</v>
      </c>
      <c r="M20" s="119">
        <v>47.410449574726613</v>
      </c>
      <c r="O20" s="16"/>
      <c r="P20" s="148"/>
      <c r="Q20" s="149"/>
      <c r="R20" s="92"/>
      <c r="S20" s="92"/>
      <c r="T20" s="92"/>
      <c r="U20" s="92"/>
      <c r="V20" s="92"/>
      <c r="W20" s="92"/>
      <c r="X20" s="92"/>
      <c r="Y20" s="92"/>
      <c r="Z20" s="92"/>
      <c r="AA20" s="90"/>
    </row>
    <row r="21" spans="1:27" x14ac:dyDescent="0.35">
      <c r="A21" s="1"/>
      <c r="B21" s="111" t="s">
        <v>798</v>
      </c>
      <c r="C21" s="112" t="s">
        <v>762</v>
      </c>
      <c r="D21" s="118">
        <v>232284</v>
      </c>
      <c r="E21" s="253">
        <v>1075</v>
      </c>
      <c r="F21" s="91"/>
      <c r="G21" s="132" t="s">
        <v>795</v>
      </c>
      <c r="H21" s="135">
        <v>322907</v>
      </c>
      <c r="I21" s="118">
        <v>129.2662129703763</v>
      </c>
      <c r="J21" s="118">
        <v>306670</v>
      </c>
      <c r="K21" s="118">
        <v>253.44628099173553</v>
      </c>
      <c r="L21" s="118">
        <v>251324</v>
      </c>
      <c r="M21" s="119">
        <v>484.24662813102117</v>
      </c>
      <c r="O21" s="16"/>
      <c r="P21" s="148"/>
      <c r="Q21" s="149"/>
      <c r="R21" s="92"/>
      <c r="S21" s="92"/>
      <c r="T21" s="92"/>
      <c r="U21" s="92"/>
      <c r="V21" s="92"/>
      <c r="W21" s="92"/>
      <c r="X21" s="92"/>
      <c r="Y21" s="92"/>
      <c r="Z21" s="92"/>
      <c r="AA21" s="90"/>
    </row>
    <row r="22" spans="1:27" ht="15" thickBot="1" x14ac:dyDescent="0.4">
      <c r="A22" s="1"/>
      <c r="B22" s="111" t="s">
        <v>798</v>
      </c>
      <c r="C22" s="112" t="s">
        <v>789</v>
      </c>
      <c r="D22" s="118">
        <v>178678</v>
      </c>
      <c r="E22" s="253">
        <v>729</v>
      </c>
      <c r="F22" s="91"/>
      <c r="G22" s="134" t="s">
        <v>820</v>
      </c>
      <c r="H22" s="137">
        <v>743093</v>
      </c>
      <c r="I22" s="122">
        <v>91.401353013530141</v>
      </c>
      <c r="J22" s="122">
        <v>686537</v>
      </c>
      <c r="K22" s="122">
        <v>124.102856109906</v>
      </c>
      <c r="L22" s="122">
        <v>717277</v>
      </c>
      <c r="M22" s="123">
        <v>102.35117009132421</v>
      </c>
      <c r="O22" s="21"/>
      <c r="P22" s="150"/>
      <c r="Q22" s="151"/>
      <c r="R22" s="92"/>
      <c r="S22" s="92"/>
      <c r="T22" s="92"/>
      <c r="U22" s="92"/>
      <c r="V22" s="92"/>
      <c r="W22" s="92"/>
      <c r="X22" s="92"/>
      <c r="Y22" s="92"/>
      <c r="Z22" s="92"/>
      <c r="AA22" s="90"/>
    </row>
    <row r="23" spans="1:27" x14ac:dyDescent="0.35">
      <c r="A23" s="1"/>
      <c r="B23" s="111" t="s">
        <v>798</v>
      </c>
      <c r="C23" s="112" t="s">
        <v>790</v>
      </c>
      <c r="D23" s="118">
        <v>205420</v>
      </c>
      <c r="E23" s="253">
        <v>4904</v>
      </c>
      <c r="F23" s="91"/>
      <c r="P23" s="92"/>
      <c r="Q23" s="92"/>
      <c r="R23" s="92"/>
      <c r="S23" s="92"/>
      <c r="T23" s="92"/>
      <c r="U23" s="92"/>
      <c r="V23" s="92"/>
      <c r="W23" s="92"/>
      <c r="X23" s="92"/>
      <c r="Y23" s="92"/>
      <c r="Z23" s="92"/>
      <c r="AA23" s="90"/>
    </row>
    <row r="24" spans="1:27" ht="15" thickBot="1" x14ac:dyDescent="0.4">
      <c r="A24" s="1"/>
      <c r="B24" s="111" t="s">
        <v>798</v>
      </c>
      <c r="C24" s="112" t="s">
        <v>791</v>
      </c>
      <c r="D24" s="118">
        <v>274089</v>
      </c>
      <c r="E24" s="253">
        <v>1272</v>
      </c>
      <c r="F24" s="91"/>
      <c r="G24" s="91"/>
      <c r="H24" s="91"/>
      <c r="I24" s="91"/>
      <c r="J24" s="91"/>
      <c r="K24" s="91"/>
      <c r="L24" s="91"/>
      <c r="M24" s="91"/>
      <c r="N24" s="91"/>
      <c r="O24" s="92"/>
      <c r="P24" s="92"/>
      <c r="Q24" s="92"/>
      <c r="R24" s="92"/>
      <c r="S24" s="92"/>
      <c r="T24" s="92"/>
      <c r="U24" s="92"/>
      <c r="V24" s="92"/>
      <c r="W24" s="92"/>
      <c r="X24" s="92"/>
      <c r="Y24" s="92"/>
      <c r="Z24" s="92"/>
      <c r="AA24" s="90"/>
    </row>
    <row r="25" spans="1:27" x14ac:dyDescent="0.35">
      <c r="A25" s="1"/>
      <c r="B25" s="111" t="s">
        <v>798</v>
      </c>
      <c r="C25" s="112" t="s">
        <v>792</v>
      </c>
      <c r="D25" s="118">
        <v>317175</v>
      </c>
      <c r="E25" s="253">
        <v>1963</v>
      </c>
      <c r="F25" s="91"/>
      <c r="G25" s="158" t="s">
        <v>796</v>
      </c>
      <c r="H25" t="s">
        <v>815</v>
      </c>
      <c r="I25" s="159"/>
      <c r="J25" s="139"/>
      <c r="K25" s="140"/>
      <c r="L25" s="140"/>
      <c r="M25" s="140"/>
      <c r="N25" s="140"/>
      <c r="O25" s="146"/>
      <c r="P25" s="146"/>
      <c r="Q25" s="147"/>
      <c r="R25" s="92"/>
      <c r="S25" s="92"/>
      <c r="T25" s="92"/>
      <c r="U25" s="92"/>
      <c r="V25" s="92"/>
      <c r="W25" s="92"/>
      <c r="X25" s="92"/>
      <c r="Y25" s="92"/>
      <c r="Z25" s="92"/>
      <c r="AA25" s="90"/>
    </row>
    <row r="26" spans="1:27" x14ac:dyDescent="0.35">
      <c r="A26" s="1"/>
      <c r="B26" s="111" t="s">
        <v>798</v>
      </c>
      <c r="C26" s="112" t="s">
        <v>793</v>
      </c>
      <c r="D26" s="118">
        <v>198789</v>
      </c>
      <c r="E26" s="253">
        <v>3186</v>
      </c>
      <c r="F26" s="91"/>
      <c r="G26" s="91"/>
      <c r="H26" s="91"/>
      <c r="I26" s="159"/>
      <c r="J26" s="141"/>
      <c r="K26" s="142"/>
      <c r="L26" s="142"/>
      <c r="M26" s="142"/>
      <c r="N26" s="142"/>
      <c r="O26" s="148"/>
      <c r="P26" s="148"/>
      <c r="Q26" s="149"/>
      <c r="R26" s="92"/>
      <c r="S26" s="92"/>
      <c r="T26" s="92"/>
      <c r="U26" s="92"/>
      <c r="V26" s="92"/>
      <c r="W26" s="92"/>
      <c r="X26" s="92"/>
      <c r="Y26" s="92"/>
      <c r="Z26" s="92"/>
      <c r="AA26" s="90"/>
    </row>
    <row r="27" spans="1:27" x14ac:dyDescent="0.35">
      <c r="A27" s="1"/>
      <c r="B27" s="111" t="s">
        <v>798</v>
      </c>
      <c r="C27" s="112" t="s">
        <v>794</v>
      </c>
      <c r="D27" s="118">
        <v>181078</v>
      </c>
      <c r="E27" s="253">
        <v>1136</v>
      </c>
      <c r="F27" s="91"/>
      <c r="G27" s="160" t="s">
        <v>766</v>
      </c>
      <c r="H27" s="59" t="s">
        <v>816</v>
      </c>
      <c r="I27" s="159"/>
      <c r="J27" s="141"/>
      <c r="K27" s="142"/>
      <c r="L27" s="142"/>
      <c r="M27" s="142"/>
      <c r="N27" s="142"/>
      <c r="O27" s="148"/>
      <c r="P27" s="148"/>
      <c r="Q27" s="149"/>
      <c r="R27" s="92"/>
      <c r="S27" s="92"/>
      <c r="T27" s="92"/>
      <c r="U27" s="92"/>
      <c r="V27" s="92"/>
      <c r="W27" s="92"/>
      <c r="X27" s="92"/>
      <c r="Y27" s="92"/>
      <c r="Z27" s="92"/>
      <c r="AA27" s="90"/>
    </row>
    <row r="28" spans="1:27" x14ac:dyDescent="0.35">
      <c r="A28" s="1"/>
      <c r="B28" s="111" t="s">
        <v>798</v>
      </c>
      <c r="C28" s="112" t="s">
        <v>795</v>
      </c>
      <c r="D28" s="118">
        <v>306670</v>
      </c>
      <c r="E28" s="253">
        <v>1210</v>
      </c>
      <c r="F28" s="91"/>
      <c r="G28" t="s">
        <v>785</v>
      </c>
      <c r="H28" s="161">
        <v>767807</v>
      </c>
      <c r="I28" s="159"/>
      <c r="J28" s="141"/>
      <c r="K28" s="142"/>
      <c r="L28" s="142"/>
      <c r="M28" s="142"/>
      <c r="N28" s="142"/>
      <c r="O28" s="148"/>
      <c r="P28" s="148"/>
      <c r="Q28" s="149"/>
      <c r="R28" s="92"/>
      <c r="S28" s="92"/>
      <c r="T28" s="92"/>
      <c r="U28" s="92"/>
      <c r="V28" s="92"/>
      <c r="W28" s="92"/>
      <c r="X28" s="92"/>
      <c r="Y28" s="92"/>
      <c r="Z28" s="92"/>
      <c r="AA28" s="90"/>
    </row>
    <row r="29" spans="1:27" x14ac:dyDescent="0.35">
      <c r="A29" s="1"/>
      <c r="B29" s="113" t="s">
        <v>803</v>
      </c>
      <c r="C29" s="112" t="s">
        <v>785</v>
      </c>
      <c r="D29" s="118">
        <v>276801</v>
      </c>
      <c r="E29" s="253">
        <v>1060</v>
      </c>
      <c r="F29" s="91"/>
      <c r="G29" t="s">
        <v>786</v>
      </c>
      <c r="H29" s="161">
        <v>570262</v>
      </c>
      <c r="I29" s="159"/>
      <c r="J29" s="141"/>
      <c r="K29" s="142"/>
      <c r="L29" s="142"/>
      <c r="M29" s="142"/>
      <c r="N29" s="142"/>
      <c r="O29" s="148"/>
      <c r="P29" s="148"/>
      <c r="Q29" s="149"/>
      <c r="R29" s="92"/>
      <c r="S29" s="92"/>
      <c r="T29" s="92"/>
      <c r="U29" s="92"/>
      <c r="V29" s="92"/>
      <c r="W29" s="92"/>
      <c r="X29" s="92"/>
      <c r="Y29" s="92"/>
      <c r="Z29" s="92"/>
      <c r="AA29" s="90"/>
    </row>
    <row r="30" spans="1:27" x14ac:dyDescent="0.35">
      <c r="A30" s="1"/>
      <c r="B30" s="113" t="s">
        <v>803</v>
      </c>
      <c r="C30" s="112" t="s">
        <v>786</v>
      </c>
      <c r="D30" s="118">
        <v>164630</v>
      </c>
      <c r="E30" s="253">
        <v>2472</v>
      </c>
      <c r="F30" s="91"/>
      <c r="G30" t="s">
        <v>787</v>
      </c>
      <c r="H30" s="161">
        <v>580169</v>
      </c>
      <c r="I30" s="159"/>
      <c r="J30" s="141"/>
      <c r="K30" s="142"/>
      <c r="L30" s="142"/>
      <c r="M30" s="142"/>
      <c r="N30" s="142"/>
      <c r="O30" s="148"/>
      <c r="P30" s="148"/>
      <c r="Q30" s="149"/>
      <c r="R30" s="92"/>
      <c r="S30" s="92"/>
      <c r="T30" s="92"/>
      <c r="U30" s="92"/>
      <c r="V30" s="92"/>
      <c r="W30" s="92"/>
      <c r="X30" s="92"/>
      <c r="Y30" s="92"/>
      <c r="Z30" s="92"/>
      <c r="AA30" s="90"/>
    </row>
    <row r="31" spans="1:27" x14ac:dyDescent="0.35">
      <c r="A31" s="1"/>
      <c r="B31" s="113" t="s">
        <v>803</v>
      </c>
      <c r="C31" s="112" t="s">
        <v>787</v>
      </c>
      <c r="D31" s="118">
        <v>237568</v>
      </c>
      <c r="E31" s="253">
        <v>2520</v>
      </c>
      <c r="F31" s="91"/>
      <c r="G31" t="s">
        <v>788</v>
      </c>
      <c r="H31" s="161">
        <v>709518</v>
      </c>
      <c r="I31" s="159"/>
      <c r="J31" s="141"/>
      <c r="K31" s="142"/>
      <c r="L31" s="142"/>
      <c r="M31" s="142"/>
      <c r="N31" s="142"/>
      <c r="O31" s="148"/>
      <c r="P31" s="148"/>
      <c r="Q31" s="149"/>
      <c r="R31" s="92"/>
      <c r="S31" s="92"/>
      <c r="T31" s="92"/>
      <c r="U31" s="92"/>
      <c r="V31" s="92"/>
      <c r="W31" s="92"/>
      <c r="X31" s="92"/>
      <c r="Y31" s="92"/>
      <c r="Z31" s="92"/>
      <c r="AA31" s="90"/>
    </row>
    <row r="32" spans="1:27" x14ac:dyDescent="0.35">
      <c r="A32" s="1"/>
      <c r="B32" s="113" t="s">
        <v>803</v>
      </c>
      <c r="C32" s="112" t="s">
        <v>788</v>
      </c>
      <c r="D32" s="118">
        <v>241053</v>
      </c>
      <c r="E32" s="253">
        <v>3494</v>
      </c>
      <c r="F32" s="91"/>
      <c r="G32" t="s">
        <v>762</v>
      </c>
      <c r="H32" s="161">
        <v>669646</v>
      </c>
      <c r="I32" s="159"/>
      <c r="J32" s="141"/>
      <c r="K32" s="142"/>
      <c r="L32" s="142"/>
      <c r="M32" s="142"/>
      <c r="N32" s="142"/>
      <c r="O32" s="148"/>
      <c r="P32" s="148"/>
      <c r="Q32" s="149"/>
      <c r="R32" s="92"/>
      <c r="S32" s="92"/>
      <c r="T32" s="92"/>
      <c r="U32" s="92"/>
      <c r="V32" s="92"/>
      <c r="W32" s="92"/>
      <c r="X32" s="92"/>
      <c r="Y32" s="92"/>
      <c r="Z32" s="92"/>
      <c r="AA32" s="90"/>
    </row>
    <row r="33" spans="1:27" x14ac:dyDescent="0.35">
      <c r="A33" s="1"/>
      <c r="B33" s="113" t="s">
        <v>803</v>
      </c>
      <c r="C33" s="112" t="s">
        <v>762</v>
      </c>
      <c r="D33" s="118">
        <v>162256</v>
      </c>
      <c r="E33" s="253">
        <v>3750</v>
      </c>
      <c r="F33" s="91"/>
      <c r="G33" t="s">
        <v>789</v>
      </c>
      <c r="H33" s="161">
        <v>669812</v>
      </c>
      <c r="I33" s="159"/>
      <c r="J33" s="141"/>
      <c r="K33" s="142"/>
      <c r="L33" s="142"/>
      <c r="M33" s="142"/>
      <c r="N33" s="142"/>
      <c r="O33" s="148"/>
      <c r="P33" s="148"/>
      <c r="Q33" s="149"/>
      <c r="R33" s="92"/>
      <c r="S33" s="92"/>
      <c r="T33" s="92"/>
      <c r="U33" s="92"/>
      <c r="V33" s="92"/>
      <c r="W33" s="92"/>
      <c r="X33" s="92"/>
      <c r="Y33" s="92"/>
      <c r="Z33" s="92"/>
      <c r="AA33" s="90"/>
    </row>
    <row r="34" spans="1:27" x14ac:dyDescent="0.35">
      <c r="A34" s="1"/>
      <c r="B34" s="113" t="s">
        <v>803</v>
      </c>
      <c r="C34" s="112" t="s">
        <v>789</v>
      </c>
      <c r="D34" s="118">
        <v>185111</v>
      </c>
      <c r="E34" s="253">
        <v>1971</v>
      </c>
      <c r="F34" s="91"/>
      <c r="G34" t="s">
        <v>790</v>
      </c>
      <c r="H34" s="161">
        <v>812943</v>
      </c>
      <c r="I34" s="159"/>
      <c r="J34" s="141"/>
      <c r="K34" s="142"/>
      <c r="L34" s="142"/>
      <c r="M34" s="142"/>
      <c r="N34" s="142"/>
      <c r="O34" s="148"/>
      <c r="P34" s="148"/>
      <c r="Q34" s="149"/>
      <c r="R34" s="92"/>
      <c r="S34" s="92"/>
      <c r="T34" s="92"/>
      <c r="U34" s="92"/>
      <c r="V34" s="92"/>
      <c r="W34" s="92"/>
      <c r="X34" s="92"/>
      <c r="Y34" s="92"/>
      <c r="Z34" s="92"/>
      <c r="AA34" s="90"/>
    </row>
    <row r="35" spans="1:27" x14ac:dyDescent="0.35">
      <c r="A35" s="1"/>
      <c r="B35" s="113" t="s">
        <v>803</v>
      </c>
      <c r="C35" s="112" t="s">
        <v>790</v>
      </c>
      <c r="D35" s="118">
        <v>348427</v>
      </c>
      <c r="E35" s="253">
        <v>775</v>
      </c>
      <c r="F35" s="91"/>
      <c r="G35" t="s">
        <v>791</v>
      </c>
      <c r="H35" s="161">
        <v>756281</v>
      </c>
      <c r="I35" s="159"/>
      <c r="J35" s="141"/>
      <c r="K35" s="142"/>
      <c r="L35" s="142"/>
      <c r="M35" s="142"/>
      <c r="N35" s="142"/>
      <c r="O35" s="148"/>
      <c r="P35" s="148"/>
      <c r="Q35" s="149"/>
      <c r="R35" s="92"/>
      <c r="S35" s="92"/>
      <c r="T35" s="92"/>
      <c r="U35" s="92"/>
      <c r="V35" s="92"/>
      <c r="W35" s="92"/>
      <c r="X35" s="92"/>
      <c r="Y35" s="92"/>
      <c r="Z35" s="92"/>
      <c r="AA35" s="90"/>
    </row>
    <row r="36" spans="1:27" x14ac:dyDescent="0.35">
      <c r="A36" s="1"/>
      <c r="B36" s="113" t="s">
        <v>803</v>
      </c>
      <c r="C36" s="112" t="s">
        <v>791</v>
      </c>
      <c r="D36" s="118">
        <v>229450</v>
      </c>
      <c r="E36" s="253">
        <v>760</v>
      </c>
      <c r="F36" s="91"/>
      <c r="G36" t="s">
        <v>792</v>
      </c>
      <c r="H36" s="161">
        <v>816425</v>
      </c>
      <c r="I36" s="159"/>
      <c r="J36" s="141"/>
      <c r="K36" s="142"/>
      <c r="L36" s="142"/>
      <c r="M36" s="142"/>
      <c r="N36" s="142"/>
      <c r="O36" s="148"/>
      <c r="P36" s="148"/>
      <c r="Q36" s="149"/>
      <c r="R36" s="92"/>
      <c r="S36" s="92"/>
      <c r="T36" s="92"/>
      <c r="U36" s="92"/>
      <c r="V36" s="92"/>
      <c r="W36" s="92"/>
      <c r="X36" s="92"/>
      <c r="Y36" s="92"/>
      <c r="Z36" s="92"/>
      <c r="AA36" s="90"/>
    </row>
    <row r="37" spans="1:27" x14ac:dyDescent="0.35">
      <c r="A37" s="1"/>
      <c r="B37" s="113" t="s">
        <v>803</v>
      </c>
      <c r="C37" s="112" t="s">
        <v>792</v>
      </c>
      <c r="D37" s="118">
        <v>311776</v>
      </c>
      <c r="E37" s="253">
        <v>2951</v>
      </c>
      <c r="F37" s="91"/>
      <c r="G37" t="s">
        <v>793</v>
      </c>
      <c r="H37" s="161">
        <v>660632</v>
      </c>
      <c r="I37" s="159"/>
      <c r="J37" s="141"/>
      <c r="K37" s="142"/>
      <c r="L37" s="142"/>
      <c r="M37" s="142"/>
      <c r="N37" s="142"/>
      <c r="O37" s="148"/>
      <c r="P37" s="148"/>
      <c r="Q37" s="149"/>
      <c r="R37" s="92"/>
      <c r="S37" s="92"/>
      <c r="T37" s="92"/>
      <c r="U37" s="92"/>
      <c r="V37" s="92"/>
      <c r="W37" s="92"/>
      <c r="X37" s="92"/>
      <c r="Y37" s="92"/>
      <c r="Z37" s="92"/>
      <c r="AA37" s="90"/>
    </row>
    <row r="38" spans="1:27" x14ac:dyDescent="0.35">
      <c r="A38" s="1"/>
      <c r="B38" s="113" t="s">
        <v>803</v>
      </c>
      <c r="C38" s="112" t="s">
        <v>793</v>
      </c>
      <c r="D38" s="118">
        <v>190984</v>
      </c>
      <c r="E38" s="253">
        <v>1839</v>
      </c>
      <c r="F38" s="91"/>
      <c r="G38" t="s">
        <v>794</v>
      </c>
      <c r="H38" s="161">
        <v>605374</v>
      </c>
      <c r="I38" s="159"/>
      <c r="J38" s="141"/>
      <c r="K38" s="142"/>
      <c r="L38" s="142"/>
      <c r="M38" s="142"/>
      <c r="N38" s="142"/>
      <c r="O38" s="148"/>
      <c r="P38" s="148"/>
      <c r="Q38" s="149"/>
      <c r="R38" s="92"/>
      <c r="S38" s="92"/>
      <c r="T38" s="92"/>
      <c r="U38" s="92"/>
      <c r="V38" s="92"/>
      <c r="W38" s="92"/>
      <c r="X38" s="92"/>
      <c r="Y38" s="92"/>
      <c r="Z38" s="92"/>
      <c r="AA38" s="90"/>
    </row>
    <row r="39" spans="1:27" x14ac:dyDescent="0.35">
      <c r="A39" s="1"/>
      <c r="B39" s="113" t="s">
        <v>803</v>
      </c>
      <c r="C39" s="112" t="s">
        <v>794</v>
      </c>
      <c r="D39" s="118">
        <v>229202</v>
      </c>
      <c r="E39" s="253">
        <v>3793</v>
      </c>
      <c r="F39" s="91"/>
      <c r="G39" t="s">
        <v>795</v>
      </c>
      <c r="H39" s="161">
        <v>880901</v>
      </c>
      <c r="I39" s="159"/>
      <c r="J39" s="141"/>
      <c r="K39" s="142"/>
      <c r="L39" s="142"/>
      <c r="M39" s="142"/>
      <c r="N39" s="142"/>
      <c r="O39" s="148"/>
      <c r="P39" s="148"/>
      <c r="Q39" s="149"/>
      <c r="R39" s="92"/>
      <c r="S39" s="92"/>
      <c r="T39" s="92"/>
      <c r="U39" s="92"/>
      <c r="V39" s="92"/>
      <c r="W39" s="92"/>
      <c r="X39" s="92"/>
      <c r="Y39" s="92"/>
      <c r="Z39" s="92"/>
      <c r="AA39" s="90"/>
    </row>
    <row r="40" spans="1:27" ht="15" thickBot="1" x14ac:dyDescent="0.4">
      <c r="A40" s="1"/>
      <c r="B40" s="114" t="s">
        <v>803</v>
      </c>
      <c r="C40" s="115" t="s">
        <v>795</v>
      </c>
      <c r="D40" s="145">
        <v>322907</v>
      </c>
      <c r="E40" s="254">
        <v>2498</v>
      </c>
      <c r="F40" s="91"/>
      <c r="G40" s="160" t="s">
        <v>814</v>
      </c>
      <c r="H40" s="162">
        <v>8499770</v>
      </c>
      <c r="I40" s="159"/>
      <c r="J40" s="143"/>
      <c r="K40" s="144"/>
      <c r="L40" s="144"/>
      <c r="M40" s="144"/>
      <c r="N40" s="144"/>
      <c r="O40" s="150"/>
      <c r="P40" s="150"/>
      <c r="Q40" s="151"/>
      <c r="R40" s="92"/>
      <c r="S40" s="92"/>
      <c r="T40" s="92"/>
      <c r="U40" s="92"/>
      <c r="V40" s="92"/>
      <c r="W40" s="92"/>
      <c r="X40" s="92"/>
      <c r="Y40" s="92"/>
      <c r="Z40" s="92"/>
      <c r="AA40" s="90"/>
    </row>
    <row r="41" spans="1:27" ht="15" thickBot="1" x14ac:dyDescent="0.4">
      <c r="A41" s="1"/>
      <c r="B41" s="108"/>
      <c r="C41" s="91"/>
      <c r="D41" s="91"/>
      <c r="E41" s="91"/>
      <c r="F41" s="91"/>
      <c r="I41" s="91"/>
      <c r="J41" s="91"/>
      <c r="K41" s="91"/>
      <c r="L41" s="91"/>
      <c r="M41" s="91"/>
      <c r="N41" s="91"/>
      <c r="O41" s="92"/>
      <c r="P41" s="92"/>
      <c r="Q41" s="92"/>
      <c r="R41" s="92"/>
      <c r="S41" s="92"/>
      <c r="T41" s="92"/>
      <c r="U41" s="92"/>
      <c r="V41" s="92"/>
      <c r="W41" s="92"/>
      <c r="X41" s="92"/>
      <c r="Y41" s="92"/>
      <c r="Z41" s="92"/>
      <c r="AA41" s="90"/>
    </row>
    <row r="42" spans="1:27" x14ac:dyDescent="0.35">
      <c r="A42" s="1"/>
      <c r="B42" s="139"/>
      <c r="C42" s="140"/>
      <c r="D42" s="140"/>
      <c r="E42" s="140"/>
      <c r="F42" s="140"/>
      <c r="G42" s="14"/>
      <c r="H42" s="14"/>
      <c r="I42" s="14"/>
      <c r="J42" s="14"/>
      <c r="K42" s="14"/>
      <c r="L42" s="140"/>
      <c r="M42" s="140"/>
      <c r="N42" s="140"/>
      <c r="O42" s="146"/>
      <c r="P42" s="146"/>
      <c r="Q42" s="147"/>
      <c r="R42" s="92"/>
      <c r="S42" s="92"/>
      <c r="T42" s="92"/>
      <c r="U42" s="92"/>
      <c r="V42" s="92"/>
      <c r="W42" s="92"/>
      <c r="X42" s="92"/>
      <c r="Y42" s="92"/>
      <c r="Z42" s="92"/>
      <c r="AA42" s="90"/>
    </row>
    <row r="43" spans="1:27" x14ac:dyDescent="0.35">
      <c r="A43" s="1"/>
      <c r="B43" s="141"/>
      <c r="C43" s="142"/>
      <c r="D43" s="142"/>
      <c r="E43" s="142"/>
      <c r="F43" s="142"/>
      <c r="G43" s="17"/>
      <c r="H43" s="17"/>
      <c r="I43" s="17"/>
      <c r="J43" s="17"/>
      <c r="K43" s="17"/>
      <c r="L43" s="142"/>
      <c r="M43" s="142"/>
      <c r="N43" s="142"/>
      <c r="O43" s="148"/>
      <c r="P43" s="148"/>
      <c r="Q43" s="149"/>
      <c r="R43" s="92"/>
      <c r="S43" s="92"/>
      <c r="T43" s="92"/>
      <c r="U43" s="92"/>
      <c r="V43" s="92"/>
      <c r="W43" s="92"/>
      <c r="X43" s="92"/>
      <c r="Y43" s="92"/>
      <c r="Z43" s="92"/>
      <c r="AA43" s="90"/>
    </row>
    <row r="44" spans="1:27" x14ac:dyDescent="0.35">
      <c r="A44" s="1"/>
      <c r="B44" s="141"/>
      <c r="C44" s="142"/>
      <c r="D44" s="142"/>
      <c r="E44" s="142"/>
      <c r="F44" s="142"/>
      <c r="G44" s="17"/>
      <c r="H44" s="17"/>
      <c r="I44" s="17"/>
      <c r="J44" s="17"/>
      <c r="K44" s="17"/>
      <c r="L44" s="142"/>
      <c r="M44" s="142"/>
      <c r="N44" s="142"/>
      <c r="O44" s="148"/>
      <c r="P44" s="148"/>
      <c r="Q44" s="149"/>
      <c r="R44" s="92"/>
      <c r="S44" s="92"/>
      <c r="T44" s="92"/>
      <c r="U44" s="92"/>
      <c r="V44" s="92"/>
      <c r="W44" s="92"/>
      <c r="X44" s="92"/>
      <c r="Y44" s="92"/>
      <c r="Z44" s="92"/>
      <c r="AA44" s="90"/>
    </row>
    <row r="45" spans="1:27" x14ac:dyDescent="0.35">
      <c r="A45" s="1"/>
      <c r="B45" s="141"/>
      <c r="C45" s="142"/>
      <c r="D45" s="142"/>
      <c r="E45" s="142"/>
      <c r="F45" s="142"/>
      <c r="G45" s="17"/>
      <c r="H45" s="17"/>
      <c r="I45" s="17"/>
      <c r="J45" s="17"/>
      <c r="K45" s="17"/>
      <c r="L45" s="142"/>
      <c r="M45" s="142"/>
      <c r="N45" s="142"/>
      <c r="O45" s="148"/>
      <c r="P45" s="148"/>
      <c r="Q45" s="149"/>
      <c r="R45" s="92"/>
      <c r="S45" s="92"/>
      <c r="T45" s="92"/>
      <c r="U45" s="92"/>
      <c r="V45" s="92"/>
      <c r="W45" s="92"/>
      <c r="X45" s="92"/>
      <c r="Y45" s="92"/>
      <c r="Z45" s="92"/>
      <c r="AA45" s="90"/>
    </row>
    <row r="46" spans="1:27" x14ac:dyDescent="0.35">
      <c r="A46" s="1"/>
      <c r="B46" s="141"/>
      <c r="C46" s="142"/>
      <c r="D46" s="142"/>
      <c r="E46" s="142"/>
      <c r="F46" s="142"/>
      <c r="G46" s="17"/>
      <c r="H46" s="17"/>
      <c r="I46" s="17"/>
      <c r="J46" s="17"/>
      <c r="K46" s="17"/>
      <c r="L46" s="142"/>
      <c r="M46" s="142"/>
      <c r="N46" s="142"/>
      <c r="O46" s="148"/>
      <c r="P46" s="148"/>
      <c r="Q46" s="149"/>
      <c r="R46" s="92"/>
      <c r="S46" s="92"/>
      <c r="T46" s="92"/>
      <c r="U46" s="92"/>
      <c r="V46" s="92"/>
      <c r="W46" s="92"/>
      <c r="X46" s="92"/>
      <c r="Y46" s="92"/>
      <c r="Z46" s="92"/>
      <c r="AA46" s="90"/>
    </row>
    <row r="47" spans="1:27" x14ac:dyDescent="0.35">
      <c r="A47" s="1"/>
      <c r="B47" s="141"/>
      <c r="C47" s="142"/>
      <c r="D47" s="142"/>
      <c r="E47" s="142"/>
      <c r="F47" s="142"/>
      <c r="G47" s="17"/>
      <c r="H47" s="17"/>
      <c r="I47" s="17"/>
      <c r="J47" s="17"/>
      <c r="K47" s="17"/>
      <c r="L47" s="142"/>
      <c r="M47" s="142"/>
      <c r="N47" s="142"/>
      <c r="O47" s="148"/>
      <c r="P47" s="148"/>
      <c r="Q47" s="149"/>
      <c r="R47" s="92"/>
      <c r="S47" s="92"/>
      <c r="T47" s="92"/>
      <c r="U47" s="92"/>
      <c r="V47" s="92"/>
      <c r="W47" s="92"/>
      <c r="X47" s="92"/>
      <c r="Y47" s="92"/>
      <c r="Z47" s="92"/>
      <c r="AA47" s="90"/>
    </row>
    <row r="48" spans="1:27" x14ac:dyDescent="0.35">
      <c r="A48" s="1"/>
      <c r="B48" s="141"/>
      <c r="C48" s="142"/>
      <c r="D48" s="142"/>
      <c r="E48" s="142"/>
      <c r="F48" s="142"/>
      <c r="G48" s="17"/>
      <c r="H48" s="17"/>
      <c r="I48" s="17"/>
      <c r="J48" s="17"/>
      <c r="K48" s="17"/>
      <c r="L48" s="142"/>
      <c r="M48" s="142"/>
      <c r="N48" s="142"/>
      <c r="O48" s="148"/>
      <c r="P48" s="148"/>
      <c r="Q48" s="149"/>
      <c r="R48" s="92"/>
      <c r="S48" s="92"/>
      <c r="T48" s="92"/>
      <c r="U48" s="92"/>
      <c r="V48" s="92"/>
      <c r="W48" s="92"/>
      <c r="X48" s="92"/>
      <c r="Y48" s="92"/>
      <c r="Z48" s="92"/>
      <c r="AA48" s="90"/>
    </row>
    <row r="49" spans="1:27" x14ac:dyDescent="0.35">
      <c r="A49" s="1"/>
      <c r="B49" s="141"/>
      <c r="C49" s="142"/>
      <c r="D49" s="142"/>
      <c r="E49" s="142"/>
      <c r="F49" s="142"/>
      <c r="G49" s="17"/>
      <c r="H49" s="17"/>
      <c r="I49" s="17"/>
      <c r="J49" s="17"/>
      <c r="K49" s="17"/>
      <c r="L49" s="142"/>
      <c r="M49" s="142"/>
      <c r="N49" s="142"/>
      <c r="O49" s="148"/>
      <c r="P49" s="148"/>
      <c r="Q49" s="149"/>
      <c r="R49" s="92"/>
      <c r="S49" s="92"/>
      <c r="T49" s="92"/>
      <c r="U49" s="92"/>
      <c r="V49" s="92"/>
      <c r="W49" s="92"/>
      <c r="X49" s="92"/>
      <c r="Y49" s="92"/>
      <c r="Z49" s="92"/>
      <c r="AA49" s="90"/>
    </row>
    <row r="50" spans="1:27" x14ac:dyDescent="0.35">
      <c r="A50" s="1"/>
      <c r="B50" s="141"/>
      <c r="C50" s="142"/>
      <c r="D50" s="142"/>
      <c r="E50" s="142"/>
      <c r="F50" s="142"/>
      <c r="G50" s="17"/>
      <c r="H50" s="17"/>
      <c r="I50" s="17"/>
      <c r="J50" s="17"/>
      <c r="K50" s="17"/>
      <c r="L50" s="142"/>
      <c r="M50" s="142"/>
      <c r="N50" s="142"/>
      <c r="O50" s="148"/>
      <c r="P50" s="148"/>
      <c r="Q50" s="149"/>
      <c r="R50" s="92"/>
      <c r="S50" s="92"/>
      <c r="T50" s="92"/>
      <c r="U50" s="92"/>
      <c r="V50" s="92"/>
      <c r="W50" s="92"/>
      <c r="X50" s="92"/>
      <c r="Y50" s="92"/>
      <c r="Z50" s="92"/>
      <c r="AA50" s="90"/>
    </row>
    <row r="51" spans="1:27" x14ac:dyDescent="0.35">
      <c r="A51" s="1"/>
      <c r="B51" s="141"/>
      <c r="C51" s="142"/>
      <c r="D51" s="142"/>
      <c r="E51" s="142"/>
      <c r="F51" s="142"/>
      <c r="G51" s="17"/>
      <c r="H51" s="17"/>
      <c r="I51" s="17"/>
      <c r="J51" s="17"/>
      <c r="K51" s="17"/>
      <c r="L51" s="142"/>
      <c r="M51" s="142"/>
      <c r="N51" s="142"/>
      <c r="O51" s="148"/>
      <c r="P51" s="148"/>
      <c r="Q51" s="149"/>
      <c r="R51" s="92"/>
      <c r="S51" s="92"/>
      <c r="T51" s="92"/>
      <c r="U51" s="92"/>
      <c r="V51" s="92"/>
      <c r="W51" s="92"/>
      <c r="X51" s="92"/>
      <c r="Y51" s="92"/>
      <c r="Z51" s="92"/>
      <c r="AA51" s="90"/>
    </row>
    <row r="52" spans="1:27" x14ac:dyDescent="0.35">
      <c r="A52" s="1"/>
      <c r="B52" s="141"/>
      <c r="C52" s="142"/>
      <c r="D52" s="142"/>
      <c r="E52" s="142"/>
      <c r="F52" s="142"/>
      <c r="G52" s="17"/>
      <c r="H52" s="17"/>
      <c r="I52" s="17"/>
      <c r="J52" s="17"/>
      <c r="K52" s="17"/>
      <c r="L52" s="142"/>
      <c r="M52" s="142"/>
      <c r="N52" s="142"/>
      <c r="O52" s="148"/>
      <c r="P52" s="148"/>
      <c r="Q52" s="149"/>
      <c r="R52" s="92"/>
      <c r="S52" s="92"/>
      <c r="T52" s="92"/>
      <c r="U52" s="92"/>
      <c r="V52" s="92"/>
      <c r="W52" s="92"/>
      <c r="X52" s="92"/>
      <c r="Y52" s="92"/>
      <c r="Z52" s="92"/>
      <c r="AA52" s="90"/>
    </row>
    <row r="53" spans="1:27" x14ac:dyDescent="0.35">
      <c r="A53" s="1"/>
      <c r="B53" s="141"/>
      <c r="C53" s="142"/>
      <c r="D53" s="142"/>
      <c r="E53" s="142"/>
      <c r="F53" s="142"/>
      <c r="G53" s="17"/>
      <c r="H53" s="17"/>
      <c r="I53" s="17"/>
      <c r="J53" s="17"/>
      <c r="K53" s="17"/>
      <c r="L53" s="142"/>
      <c r="M53" s="142"/>
      <c r="N53" s="142"/>
      <c r="O53" s="148"/>
      <c r="P53" s="148"/>
      <c r="Q53" s="149"/>
      <c r="R53" s="92"/>
      <c r="S53" s="92"/>
      <c r="T53" s="92"/>
      <c r="U53" s="92"/>
      <c r="V53" s="92"/>
      <c r="W53" s="92"/>
      <c r="X53" s="92"/>
      <c r="Y53" s="92"/>
      <c r="Z53" s="92"/>
      <c r="AA53" s="90"/>
    </row>
    <row r="54" spans="1:27" x14ac:dyDescent="0.35">
      <c r="A54" s="1"/>
      <c r="B54" s="141"/>
      <c r="C54" s="142"/>
      <c r="D54" s="142"/>
      <c r="E54" s="142"/>
      <c r="F54" s="142"/>
      <c r="G54" s="17"/>
      <c r="H54" s="17"/>
      <c r="I54" s="17"/>
      <c r="J54" s="17"/>
      <c r="K54" s="17"/>
      <c r="L54" s="142"/>
      <c r="M54" s="142"/>
      <c r="N54" s="142"/>
      <c r="O54" s="148"/>
      <c r="P54" s="148"/>
      <c r="Q54" s="149"/>
      <c r="R54" s="92"/>
      <c r="S54" s="92"/>
      <c r="T54" s="92"/>
      <c r="U54" s="92"/>
      <c r="V54" s="92"/>
      <c r="W54" s="92"/>
      <c r="X54" s="92"/>
      <c r="Y54" s="92"/>
      <c r="Z54" s="92"/>
      <c r="AA54" s="90"/>
    </row>
    <row r="55" spans="1:27" x14ac:dyDescent="0.35">
      <c r="A55" s="1"/>
      <c r="B55" s="141"/>
      <c r="C55" s="142"/>
      <c r="D55" s="142"/>
      <c r="E55" s="142"/>
      <c r="F55" s="142"/>
      <c r="G55" s="17"/>
      <c r="H55" s="17"/>
      <c r="I55" s="17"/>
      <c r="J55" s="17"/>
      <c r="K55" s="17"/>
      <c r="L55" s="142"/>
      <c r="M55" s="142"/>
      <c r="N55" s="142"/>
      <c r="O55" s="148"/>
      <c r="P55" s="148"/>
      <c r="Q55" s="149"/>
      <c r="R55" s="92"/>
      <c r="S55" s="92"/>
      <c r="T55" s="92"/>
      <c r="U55" s="92"/>
      <c r="V55" s="92"/>
      <c r="W55" s="92"/>
      <c r="X55" s="92"/>
      <c r="Y55" s="92"/>
      <c r="Z55" s="92"/>
      <c r="AA55" s="90"/>
    </row>
    <row r="56" spans="1:27" x14ac:dyDescent="0.35">
      <c r="A56" s="1"/>
      <c r="B56" s="141"/>
      <c r="C56" s="142"/>
      <c r="D56" s="142"/>
      <c r="E56" s="142"/>
      <c r="F56" s="142"/>
      <c r="G56" s="17"/>
      <c r="H56" s="17"/>
      <c r="I56" s="17"/>
      <c r="J56" s="17"/>
      <c r="K56" s="17"/>
      <c r="L56" s="142"/>
      <c r="M56" s="142"/>
      <c r="N56" s="142"/>
      <c r="O56" s="148"/>
      <c r="P56" s="148"/>
      <c r="Q56" s="149"/>
      <c r="R56" s="92"/>
      <c r="S56" s="92"/>
      <c r="T56" s="92"/>
      <c r="U56" s="92"/>
      <c r="V56" s="92"/>
      <c r="W56" s="92"/>
      <c r="X56" s="92"/>
      <c r="Y56" s="92"/>
      <c r="Z56" s="92"/>
      <c r="AA56" s="90"/>
    </row>
    <row r="57" spans="1:27" x14ac:dyDescent="0.35">
      <c r="A57" s="1"/>
      <c r="B57" s="141"/>
      <c r="C57" s="142"/>
      <c r="D57" s="142"/>
      <c r="E57" s="142"/>
      <c r="F57" s="142"/>
      <c r="G57" s="17"/>
      <c r="H57" s="17"/>
      <c r="I57" s="17"/>
      <c r="J57" s="142"/>
      <c r="K57" s="142"/>
      <c r="L57" s="142"/>
      <c r="M57" s="142"/>
      <c r="N57" s="142"/>
      <c r="O57" s="148"/>
      <c r="P57" s="148"/>
      <c r="Q57" s="149"/>
      <c r="R57" s="92"/>
      <c r="S57" s="92"/>
      <c r="T57" s="92"/>
      <c r="U57" s="92"/>
      <c r="V57" s="92"/>
      <c r="W57" s="92"/>
      <c r="X57" s="92"/>
      <c r="Y57" s="92"/>
      <c r="Z57" s="92"/>
      <c r="AA57" s="90"/>
    </row>
    <row r="58" spans="1:27" x14ac:dyDescent="0.35">
      <c r="A58" s="1"/>
      <c r="B58" s="141"/>
      <c r="C58" s="142"/>
      <c r="D58" s="142"/>
      <c r="E58" s="142"/>
      <c r="F58" s="142"/>
      <c r="G58" s="17"/>
      <c r="H58" s="17"/>
      <c r="I58" s="17"/>
      <c r="J58" s="142"/>
      <c r="K58" s="142"/>
      <c r="L58" s="142"/>
      <c r="M58" s="142"/>
      <c r="N58" s="142"/>
      <c r="O58" s="148"/>
      <c r="P58" s="148"/>
      <c r="Q58" s="149"/>
      <c r="R58" s="92"/>
      <c r="S58" s="92"/>
      <c r="T58" s="92"/>
      <c r="U58" s="92"/>
      <c r="V58" s="92"/>
      <c r="W58" s="92"/>
      <c r="X58" s="92"/>
      <c r="Y58" s="92"/>
      <c r="Z58" s="92"/>
      <c r="AA58" s="90"/>
    </row>
    <row r="59" spans="1:27" ht="15" thickBot="1" x14ac:dyDescent="0.4">
      <c r="A59" s="1"/>
      <c r="B59" s="143"/>
      <c r="C59" s="144"/>
      <c r="D59" s="144"/>
      <c r="E59" s="144"/>
      <c r="F59" s="144"/>
      <c r="G59" s="22"/>
      <c r="H59" s="22"/>
      <c r="I59" s="22"/>
      <c r="J59" s="144"/>
      <c r="K59" s="144"/>
      <c r="L59" s="144"/>
      <c r="M59" s="144"/>
      <c r="N59" s="144"/>
      <c r="O59" s="150"/>
      <c r="P59" s="150"/>
      <c r="Q59" s="151"/>
      <c r="R59" s="92"/>
      <c r="S59" s="92"/>
      <c r="T59" s="92"/>
      <c r="U59" s="92"/>
      <c r="V59" s="92"/>
      <c r="W59" s="92"/>
      <c r="X59" s="92"/>
      <c r="Y59" s="92"/>
      <c r="Z59" s="92"/>
      <c r="AA59" s="90"/>
    </row>
    <row r="60" spans="1:27" x14ac:dyDescent="0.35">
      <c r="A60" s="1"/>
      <c r="B60" s="91"/>
      <c r="C60" s="91"/>
      <c r="D60" s="91"/>
      <c r="E60" s="91"/>
      <c r="F60" s="91"/>
      <c r="G60" s="91"/>
      <c r="H60" s="91"/>
      <c r="I60" s="91"/>
      <c r="J60" s="91"/>
      <c r="K60" s="91"/>
      <c r="L60" s="91"/>
      <c r="M60" s="91"/>
      <c r="N60" s="91"/>
      <c r="O60" s="92"/>
      <c r="P60" s="92"/>
      <c r="Q60" s="92"/>
      <c r="R60" s="92"/>
      <c r="S60" s="92"/>
      <c r="T60" s="92"/>
      <c r="U60" s="92"/>
      <c r="V60" s="92"/>
      <c r="W60" s="92"/>
      <c r="X60" s="92"/>
      <c r="Y60" s="92"/>
      <c r="Z60" s="92"/>
      <c r="AA60" s="90"/>
    </row>
    <row r="61" spans="1:27" x14ac:dyDescent="0.35">
      <c r="A61" s="1"/>
      <c r="B61" s="91"/>
      <c r="C61" s="91"/>
      <c r="D61" s="91"/>
      <c r="E61" s="91"/>
      <c r="F61" s="91"/>
      <c r="G61" s="91"/>
      <c r="H61" s="91"/>
      <c r="I61" s="91"/>
      <c r="J61" s="91"/>
      <c r="K61" s="91"/>
      <c r="L61" s="91"/>
      <c r="M61" s="91"/>
      <c r="N61" s="91"/>
      <c r="O61" s="92"/>
      <c r="P61" s="92"/>
      <c r="Q61" s="92"/>
      <c r="R61" s="92"/>
      <c r="S61" s="92"/>
      <c r="T61" s="92"/>
      <c r="U61" s="92"/>
      <c r="V61" s="92"/>
      <c r="W61" s="92"/>
      <c r="X61" s="92"/>
      <c r="Y61" s="92"/>
      <c r="Z61" s="92"/>
      <c r="AA61" s="90"/>
    </row>
    <row r="62" spans="1:27" x14ac:dyDescent="0.35">
      <c r="A62" s="1"/>
      <c r="B62" s="91"/>
      <c r="C62" s="91"/>
      <c r="D62" s="91"/>
      <c r="E62" s="91"/>
      <c r="F62" s="91"/>
      <c r="G62" s="91"/>
      <c r="H62" s="91"/>
      <c r="I62" s="91"/>
      <c r="J62" s="91"/>
      <c r="K62" s="91"/>
      <c r="L62" s="91"/>
      <c r="M62" s="91"/>
      <c r="N62" s="91"/>
      <c r="O62" s="92"/>
      <c r="P62" s="92"/>
      <c r="Q62" s="92"/>
      <c r="R62" s="92"/>
      <c r="S62" s="92"/>
      <c r="T62" s="92"/>
      <c r="U62" s="92"/>
      <c r="V62" s="92"/>
      <c r="W62" s="92"/>
      <c r="X62" s="92"/>
      <c r="Y62" s="92"/>
      <c r="Z62" s="92"/>
      <c r="AA62" s="90"/>
    </row>
    <row r="63" spans="1:27" x14ac:dyDescent="0.35">
      <c r="A63" s="1"/>
      <c r="B63" s="91"/>
      <c r="C63" s="91"/>
      <c r="D63" s="91"/>
      <c r="E63" s="91"/>
      <c r="F63" s="91"/>
      <c r="G63" s="91"/>
      <c r="H63" s="91"/>
      <c r="I63" s="91"/>
      <c r="J63" s="91"/>
      <c r="K63" s="91"/>
      <c r="L63" s="91"/>
      <c r="M63" s="91"/>
      <c r="N63" s="91"/>
      <c r="O63" s="92"/>
      <c r="P63" s="92"/>
      <c r="Q63" s="92"/>
      <c r="R63" s="92"/>
      <c r="S63" s="92"/>
      <c r="T63" s="92"/>
      <c r="U63" s="92"/>
      <c r="V63" s="92"/>
      <c r="W63" s="92"/>
      <c r="X63" s="92"/>
      <c r="Y63" s="92"/>
      <c r="Z63" s="92"/>
      <c r="AA63" s="90"/>
    </row>
    <row r="64" spans="1:27" x14ac:dyDescent="0.35">
      <c r="A64" s="1"/>
      <c r="B64" s="91"/>
      <c r="C64" s="91"/>
      <c r="D64" s="91"/>
      <c r="E64" s="91"/>
      <c r="F64" s="91"/>
      <c r="G64" s="91"/>
      <c r="H64" s="91"/>
      <c r="I64" s="91"/>
      <c r="J64" s="91"/>
      <c r="K64" s="91"/>
      <c r="L64" s="91"/>
      <c r="M64" s="91"/>
      <c r="N64" s="91"/>
      <c r="O64" s="92"/>
      <c r="P64" s="92"/>
      <c r="Q64" s="92"/>
      <c r="R64" s="92"/>
      <c r="S64" s="92"/>
      <c r="T64" s="92"/>
      <c r="U64" s="92"/>
      <c r="V64" s="92"/>
      <c r="W64" s="92"/>
      <c r="X64" s="92"/>
      <c r="Y64" s="92"/>
      <c r="Z64" s="92"/>
      <c r="AA64" s="90"/>
    </row>
    <row r="65" spans="1:27" x14ac:dyDescent="0.35">
      <c r="A65" s="1"/>
      <c r="B65" s="91"/>
      <c r="C65" s="91"/>
      <c r="D65" s="91"/>
      <c r="E65" s="91"/>
      <c r="F65" s="91"/>
      <c r="G65" s="91"/>
      <c r="H65" s="91"/>
      <c r="I65" s="91"/>
      <c r="J65" s="91"/>
      <c r="K65" s="91"/>
      <c r="L65" s="91"/>
      <c r="M65" s="91"/>
      <c r="N65" s="91"/>
      <c r="O65" s="92"/>
      <c r="P65" s="92"/>
      <c r="Q65" s="92"/>
      <c r="R65" s="92"/>
      <c r="S65" s="92"/>
      <c r="T65" s="92"/>
      <c r="U65" s="92"/>
      <c r="V65" s="92"/>
      <c r="W65" s="92"/>
      <c r="X65" s="92"/>
      <c r="Y65" s="92"/>
      <c r="Z65" s="92"/>
      <c r="AA65" s="90"/>
    </row>
    <row r="66" spans="1:27" x14ac:dyDescent="0.35">
      <c r="A66" s="1"/>
      <c r="B66" s="91"/>
      <c r="C66" s="91"/>
      <c r="D66" s="91"/>
      <c r="E66" s="91"/>
      <c r="F66" s="91"/>
      <c r="G66" s="91"/>
      <c r="H66" s="91"/>
      <c r="I66" s="91"/>
      <c r="J66" s="91"/>
      <c r="K66" s="91"/>
      <c r="L66" s="91"/>
      <c r="M66" s="91"/>
      <c r="N66" s="91"/>
      <c r="O66" s="92"/>
      <c r="P66" s="92"/>
      <c r="Q66" s="92"/>
      <c r="R66" s="92"/>
      <c r="S66" s="92"/>
      <c r="T66" s="92"/>
      <c r="U66" s="92"/>
      <c r="V66" s="92"/>
      <c r="W66" s="92"/>
      <c r="X66" s="92"/>
      <c r="Y66" s="92"/>
      <c r="Z66" s="92"/>
      <c r="AA66" s="90"/>
    </row>
    <row r="67" spans="1:27" x14ac:dyDescent="0.35">
      <c r="A67" s="1"/>
      <c r="B67" s="91"/>
      <c r="C67" s="91"/>
      <c r="D67" s="91"/>
      <c r="E67" s="91"/>
      <c r="F67" s="91"/>
      <c r="G67" s="91"/>
      <c r="H67" s="91"/>
      <c r="I67" s="91"/>
      <c r="J67" s="91"/>
      <c r="K67" s="91"/>
      <c r="L67" s="91"/>
      <c r="M67" s="91"/>
      <c r="N67" s="91"/>
      <c r="O67" s="92"/>
      <c r="P67" s="92"/>
      <c r="Q67" s="92"/>
      <c r="R67" s="92"/>
      <c r="S67" s="92"/>
      <c r="T67" s="92"/>
      <c r="U67" s="92"/>
      <c r="V67" s="92"/>
      <c r="W67" s="92"/>
      <c r="X67" s="92"/>
      <c r="Y67" s="92"/>
      <c r="Z67" s="92"/>
      <c r="AA67" s="90"/>
    </row>
    <row r="68" spans="1:27" x14ac:dyDescent="0.35">
      <c r="A68" s="1"/>
      <c r="B68" s="91"/>
      <c r="C68" s="91"/>
      <c r="D68" s="91"/>
      <c r="E68" s="91"/>
      <c r="F68" s="91"/>
      <c r="G68" s="91"/>
      <c r="H68" s="91"/>
      <c r="I68" s="91"/>
      <c r="J68" s="91"/>
      <c r="K68" s="91"/>
      <c r="L68" s="91"/>
      <c r="M68" s="91"/>
      <c r="N68" s="91"/>
      <c r="O68" s="92"/>
      <c r="P68" s="92"/>
      <c r="Q68" s="92"/>
      <c r="R68" s="92"/>
      <c r="S68" s="92"/>
      <c r="T68" s="92"/>
      <c r="U68" s="92"/>
      <c r="V68" s="92"/>
      <c r="W68" s="92"/>
      <c r="X68" s="92"/>
      <c r="Y68" s="92"/>
      <c r="Z68" s="92"/>
      <c r="AA68" s="90"/>
    </row>
    <row r="69" spans="1:27" x14ac:dyDescent="0.35">
      <c r="A69" s="1"/>
      <c r="B69" s="91"/>
      <c r="C69" s="91"/>
      <c r="D69" s="91"/>
      <c r="E69" s="91"/>
      <c r="F69" s="91"/>
      <c r="G69" s="91"/>
      <c r="H69" s="91"/>
      <c r="I69" s="91"/>
      <c r="J69" s="91"/>
      <c r="K69" s="91"/>
      <c r="L69" s="91"/>
      <c r="M69" s="91"/>
      <c r="N69" s="91"/>
      <c r="O69" s="92"/>
      <c r="P69" s="92"/>
      <c r="Q69" s="92"/>
      <c r="R69" s="92"/>
      <c r="S69" s="92"/>
      <c r="T69" s="92"/>
      <c r="U69" s="92"/>
      <c r="V69" s="92"/>
      <c r="W69" s="92"/>
      <c r="X69" s="92"/>
      <c r="Y69" s="92"/>
      <c r="Z69" s="92"/>
      <c r="AA69" s="90"/>
    </row>
    <row r="70" spans="1:27" x14ac:dyDescent="0.35">
      <c r="A70" s="1"/>
      <c r="B70" s="91"/>
      <c r="C70" s="91"/>
      <c r="D70" s="91"/>
      <c r="E70" s="91"/>
      <c r="F70" s="91"/>
      <c r="G70" s="91"/>
      <c r="H70" s="91"/>
      <c r="I70" s="91"/>
      <c r="J70" s="91"/>
      <c r="K70" s="91"/>
      <c r="L70" s="91"/>
      <c r="M70" s="91"/>
      <c r="N70" s="91"/>
      <c r="O70" s="92"/>
      <c r="P70" s="92"/>
      <c r="Q70" s="92"/>
      <c r="R70" s="92"/>
      <c r="S70" s="92"/>
      <c r="T70" s="92"/>
      <c r="U70" s="92"/>
      <c r="V70" s="92"/>
      <c r="W70" s="92"/>
      <c r="X70" s="92"/>
      <c r="Y70" s="92"/>
      <c r="Z70" s="92"/>
      <c r="AA70" s="90"/>
    </row>
    <row r="71" spans="1:27" x14ac:dyDescent="0.35">
      <c r="A71" s="1"/>
      <c r="B71" s="91"/>
      <c r="C71" s="91"/>
      <c r="D71" s="91"/>
      <c r="E71" s="91"/>
      <c r="F71" s="91"/>
      <c r="G71" s="91"/>
      <c r="H71" s="91"/>
      <c r="I71" s="91"/>
      <c r="J71" s="91"/>
      <c r="K71" s="91"/>
      <c r="L71" s="91"/>
      <c r="M71" s="91"/>
      <c r="N71" s="91"/>
      <c r="O71" s="92"/>
      <c r="P71" s="92"/>
      <c r="Q71" s="92"/>
      <c r="R71" s="92"/>
      <c r="S71" s="92"/>
      <c r="T71" s="92"/>
      <c r="U71" s="92"/>
      <c r="V71" s="92"/>
      <c r="W71" s="92"/>
      <c r="X71" s="92"/>
      <c r="Y71" s="92"/>
      <c r="Z71" s="92"/>
      <c r="AA71" s="90"/>
    </row>
    <row r="72" spans="1:27" x14ac:dyDescent="0.35">
      <c r="A72" s="1"/>
      <c r="B72" s="91"/>
      <c r="C72" s="91"/>
      <c r="D72" s="91"/>
      <c r="E72" s="91"/>
      <c r="F72" s="91"/>
      <c r="G72" s="91"/>
      <c r="H72" s="91"/>
      <c r="I72" s="91"/>
      <c r="J72" s="91"/>
      <c r="K72" s="91"/>
      <c r="L72" s="91"/>
      <c r="M72" s="91"/>
      <c r="N72" s="91"/>
      <c r="O72" s="92"/>
      <c r="P72" s="92"/>
      <c r="Q72" s="92"/>
      <c r="R72" s="92"/>
      <c r="S72" s="92"/>
      <c r="T72" s="92"/>
      <c r="U72" s="92"/>
      <c r="V72" s="92"/>
      <c r="W72" s="92"/>
      <c r="X72" s="92"/>
      <c r="Y72" s="92"/>
      <c r="Z72" s="92"/>
      <c r="AA72" s="90"/>
    </row>
    <row r="73" spans="1:27" x14ac:dyDescent="0.35">
      <c r="A73" s="1"/>
      <c r="B73" s="91"/>
      <c r="C73" s="91"/>
      <c r="D73" s="91"/>
      <c r="E73" s="91"/>
      <c r="F73" s="91"/>
      <c r="G73" s="91"/>
      <c r="H73" s="91"/>
      <c r="I73" s="91"/>
      <c r="J73" s="91"/>
      <c r="K73" s="91"/>
      <c r="L73" s="91"/>
      <c r="M73" s="91"/>
      <c r="N73" s="91"/>
      <c r="O73" s="92"/>
      <c r="P73" s="92"/>
      <c r="Q73" s="92"/>
      <c r="R73" s="92"/>
      <c r="S73" s="92"/>
      <c r="T73" s="92"/>
      <c r="U73" s="92"/>
      <c r="V73" s="92"/>
      <c r="W73" s="92"/>
      <c r="X73" s="92"/>
      <c r="Y73" s="92"/>
      <c r="Z73" s="92"/>
      <c r="AA73" s="90"/>
    </row>
    <row r="74" spans="1:27" x14ac:dyDescent="0.35">
      <c r="A74" s="1"/>
      <c r="B74" s="91"/>
      <c r="C74" s="91"/>
      <c r="D74" s="91"/>
      <c r="E74" s="91"/>
      <c r="F74" s="91"/>
      <c r="G74" s="91"/>
      <c r="H74" s="91"/>
      <c r="I74" s="91"/>
      <c r="J74" s="91"/>
      <c r="K74" s="91"/>
      <c r="L74" s="91"/>
      <c r="M74" s="91"/>
      <c r="N74" s="91"/>
      <c r="O74" s="92"/>
      <c r="P74" s="92"/>
      <c r="Q74" s="92"/>
      <c r="R74" s="92"/>
      <c r="S74" s="92"/>
      <c r="T74" s="92"/>
      <c r="U74" s="92"/>
      <c r="V74" s="92"/>
      <c r="W74" s="92"/>
      <c r="X74" s="92"/>
      <c r="Y74" s="92"/>
      <c r="Z74" s="92"/>
      <c r="AA74" s="90"/>
    </row>
    <row r="75" spans="1:27" x14ac:dyDescent="0.35">
      <c r="A75" s="1"/>
      <c r="B75" s="91"/>
      <c r="C75" s="91"/>
      <c r="D75" s="91"/>
      <c r="E75" s="91"/>
      <c r="F75" s="91"/>
      <c r="G75" s="91"/>
      <c r="H75" s="91"/>
      <c r="I75" s="91"/>
      <c r="J75" s="91"/>
      <c r="K75" s="91"/>
      <c r="L75" s="91"/>
      <c r="M75" s="91"/>
      <c r="N75" s="91"/>
      <c r="O75" s="92"/>
      <c r="P75" s="92"/>
      <c r="Q75" s="92"/>
      <c r="R75" s="92"/>
      <c r="S75" s="92"/>
      <c r="T75" s="92"/>
      <c r="U75" s="92"/>
      <c r="V75" s="92"/>
      <c r="W75" s="92"/>
      <c r="X75" s="92"/>
      <c r="Y75" s="92"/>
      <c r="Z75" s="92"/>
      <c r="AA75" s="90"/>
    </row>
    <row r="76" spans="1:27" x14ac:dyDescent="0.35">
      <c r="A76" s="1"/>
      <c r="B76" s="91"/>
      <c r="C76" s="91"/>
      <c r="D76" s="91"/>
      <c r="E76" s="91"/>
      <c r="F76" s="91"/>
      <c r="G76" s="91"/>
      <c r="H76" s="91"/>
      <c r="I76" s="91"/>
      <c r="J76" s="91"/>
      <c r="K76" s="91"/>
      <c r="L76" s="91"/>
      <c r="M76" s="91"/>
      <c r="N76" s="91"/>
      <c r="O76" s="92"/>
      <c r="P76" s="92"/>
      <c r="Q76" s="92"/>
      <c r="R76" s="92"/>
      <c r="S76" s="92"/>
      <c r="T76" s="92"/>
      <c r="U76" s="92"/>
      <c r="V76" s="92"/>
      <c r="W76" s="92"/>
      <c r="X76" s="92"/>
      <c r="Y76" s="92"/>
      <c r="Z76" s="92"/>
      <c r="AA76" s="90"/>
    </row>
    <row r="77" spans="1:27" x14ac:dyDescent="0.35">
      <c r="A77" s="1"/>
      <c r="B77" s="91"/>
      <c r="C77" s="91"/>
      <c r="D77" s="91"/>
      <c r="E77" s="91"/>
      <c r="F77" s="91"/>
      <c r="G77" s="91"/>
      <c r="H77" s="91"/>
      <c r="I77" s="91"/>
      <c r="J77" s="91"/>
      <c r="K77" s="91"/>
      <c r="L77" s="91"/>
      <c r="M77" s="91"/>
      <c r="N77" s="91"/>
      <c r="O77" s="92"/>
      <c r="P77" s="92"/>
      <c r="Q77" s="92"/>
      <c r="R77" s="92"/>
      <c r="S77" s="92"/>
      <c r="T77" s="92"/>
      <c r="U77" s="92"/>
      <c r="V77" s="92"/>
      <c r="W77" s="92"/>
      <c r="X77" s="92"/>
      <c r="Y77" s="92"/>
      <c r="Z77" s="92"/>
      <c r="AA77" s="90"/>
    </row>
    <row r="78" spans="1:27" x14ac:dyDescent="0.35">
      <c r="A78" s="1"/>
      <c r="B78" s="91"/>
      <c r="C78" s="91"/>
      <c r="D78" s="91"/>
      <c r="E78" s="91"/>
      <c r="F78" s="91"/>
      <c r="G78" s="91"/>
      <c r="H78" s="91"/>
      <c r="I78" s="91"/>
      <c r="J78" s="91"/>
      <c r="K78" s="91"/>
      <c r="L78" s="91"/>
      <c r="M78" s="91"/>
      <c r="N78" s="91"/>
      <c r="O78" s="92"/>
      <c r="P78" s="92"/>
      <c r="Q78" s="92"/>
      <c r="R78" s="92"/>
      <c r="S78" s="92"/>
      <c r="T78" s="92"/>
      <c r="U78" s="92"/>
      <c r="V78" s="92"/>
      <c r="W78" s="92"/>
      <c r="X78" s="92"/>
      <c r="Y78" s="92"/>
      <c r="Z78" s="92"/>
      <c r="AA78" s="90"/>
    </row>
    <row r="79" spans="1:27" x14ac:dyDescent="0.35">
      <c r="A79" s="1"/>
      <c r="B79" s="91"/>
      <c r="C79" s="91"/>
      <c r="D79" s="91"/>
      <c r="E79" s="91"/>
      <c r="F79" s="91"/>
      <c r="G79" s="91"/>
      <c r="H79" s="91"/>
      <c r="I79" s="91"/>
      <c r="J79" s="91"/>
      <c r="K79" s="91"/>
      <c r="L79" s="91"/>
      <c r="M79" s="91"/>
      <c r="N79" s="91"/>
      <c r="O79" s="92"/>
      <c r="P79" s="92"/>
      <c r="Q79" s="92"/>
      <c r="R79" s="92"/>
      <c r="S79" s="92"/>
      <c r="T79" s="92"/>
      <c r="U79" s="92"/>
      <c r="V79" s="92"/>
      <c r="W79" s="92"/>
      <c r="X79" s="92"/>
      <c r="Y79" s="92"/>
      <c r="Z79" s="92"/>
      <c r="AA79" s="90"/>
    </row>
    <row r="80" spans="1:27" x14ac:dyDescent="0.35">
      <c r="A80" s="1"/>
      <c r="B80" s="91"/>
      <c r="C80" s="91"/>
      <c r="D80" s="91"/>
      <c r="E80" s="91"/>
      <c r="F80" s="91"/>
      <c r="G80" s="91"/>
      <c r="H80" s="91"/>
      <c r="I80" s="91"/>
      <c r="J80" s="91"/>
      <c r="K80" s="91"/>
      <c r="L80" s="91"/>
      <c r="M80" s="91"/>
      <c r="N80" s="91"/>
      <c r="O80" s="92"/>
      <c r="P80" s="92"/>
      <c r="Q80" s="92"/>
      <c r="R80" s="92"/>
      <c r="S80" s="92"/>
      <c r="T80" s="92"/>
      <c r="U80" s="92"/>
      <c r="V80" s="92"/>
      <c r="W80" s="92"/>
      <c r="X80" s="92"/>
      <c r="Y80" s="92"/>
      <c r="Z80" s="92"/>
      <c r="AA80" s="90"/>
    </row>
    <row r="81" spans="1:27" x14ac:dyDescent="0.35">
      <c r="A81" s="1"/>
      <c r="B81" s="91"/>
      <c r="C81" s="91"/>
      <c r="D81" s="91"/>
      <c r="E81" s="91"/>
      <c r="F81" s="91"/>
      <c r="G81" s="91"/>
      <c r="H81" s="91"/>
      <c r="I81" s="91"/>
      <c r="J81" s="91"/>
      <c r="K81" s="91"/>
      <c r="L81" s="91"/>
      <c r="M81" s="91"/>
      <c r="N81" s="91"/>
      <c r="O81" s="92"/>
      <c r="P81" s="92"/>
      <c r="Q81" s="92"/>
      <c r="R81" s="92"/>
      <c r="S81" s="92"/>
      <c r="T81" s="92"/>
      <c r="U81" s="92"/>
      <c r="V81" s="92"/>
      <c r="W81" s="92"/>
      <c r="X81" s="92"/>
      <c r="Y81" s="92"/>
      <c r="Z81" s="92"/>
      <c r="AA81" s="90"/>
    </row>
    <row r="82" spans="1:27" x14ac:dyDescent="0.35">
      <c r="A82" s="1"/>
      <c r="B82" s="91"/>
      <c r="C82" s="91"/>
      <c r="D82" s="91"/>
      <c r="E82" s="91"/>
      <c r="F82" s="91"/>
      <c r="G82" s="91"/>
      <c r="H82" s="91"/>
      <c r="I82" s="91"/>
      <c r="J82" s="91"/>
      <c r="K82" s="91"/>
      <c r="L82" s="91"/>
      <c r="M82" s="91"/>
      <c r="N82" s="91"/>
      <c r="O82" s="92"/>
      <c r="P82" s="92"/>
      <c r="Q82" s="92"/>
      <c r="R82" s="92"/>
      <c r="S82" s="92"/>
      <c r="T82" s="92"/>
      <c r="U82" s="92"/>
      <c r="V82" s="92"/>
      <c r="W82" s="92"/>
      <c r="X82" s="92"/>
      <c r="Y82" s="92"/>
      <c r="Z82" s="92"/>
      <c r="AA82" s="90"/>
    </row>
    <row r="83" spans="1:27" x14ac:dyDescent="0.35">
      <c r="A83" s="1"/>
      <c r="B83" s="91"/>
      <c r="C83" s="91"/>
      <c r="D83" s="91"/>
      <c r="E83" s="91"/>
      <c r="F83" s="91"/>
      <c r="G83" s="91"/>
      <c r="H83" s="91"/>
      <c r="I83" s="91"/>
      <c r="J83" s="91"/>
      <c r="K83" s="91"/>
      <c r="L83" s="91"/>
      <c r="M83" s="91"/>
      <c r="N83" s="91"/>
      <c r="O83" s="92"/>
      <c r="P83" s="92"/>
      <c r="Q83" s="92"/>
      <c r="R83" s="92"/>
      <c r="S83" s="92"/>
      <c r="T83" s="92"/>
      <c r="U83" s="92"/>
      <c r="V83" s="92"/>
      <c r="W83" s="92"/>
      <c r="X83" s="92"/>
      <c r="Y83" s="92"/>
      <c r="Z83" s="92"/>
      <c r="AA83" s="90"/>
    </row>
    <row r="84" spans="1:27" x14ac:dyDescent="0.35">
      <c r="A84" s="1"/>
      <c r="B84" s="91"/>
      <c r="C84" s="91"/>
      <c r="D84" s="91"/>
      <c r="E84" s="91"/>
      <c r="F84" s="91"/>
      <c r="G84" s="91"/>
      <c r="H84" s="91"/>
      <c r="I84" s="91"/>
      <c r="J84" s="91"/>
      <c r="K84" s="91"/>
      <c r="L84" s="91"/>
      <c r="M84" s="91"/>
      <c r="N84" s="91"/>
      <c r="O84" s="92"/>
      <c r="P84" s="92"/>
      <c r="Q84" s="92"/>
      <c r="R84" s="92"/>
      <c r="S84" s="92"/>
      <c r="T84" s="92"/>
      <c r="U84" s="92"/>
      <c r="V84" s="92"/>
      <c r="W84" s="92"/>
      <c r="X84" s="92"/>
      <c r="Y84" s="92"/>
      <c r="Z84" s="92"/>
      <c r="AA84" s="90"/>
    </row>
    <row r="85" spans="1:27" x14ac:dyDescent="0.35">
      <c r="A85" s="1"/>
      <c r="B85" s="91"/>
      <c r="C85" s="91"/>
      <c r="D85" s="91"/>
      <c r="E85" s="91"/>
      <c r="F85" s="91"/>
      <c r="G85" s="91"/>
      <c r="H85" s="91"/>
      <c r="I85" s="91"/>
      <c r="J85" s="91"/>
      <c r="K85" s="91"/>
      <c r="L85" s="91"/>
      <c r="M85" s="91"/>
      <c r="N85" s="91"/>
      <c r="O85" s="92"/>
      <c r="P85" s="92"/>
      <c r="Q85" s="92"/>
      <c r="R85" s="92"/>
      <c r="S85" s="92"/>
      <c r="T85" s="92"/>
      <c r="U85" s="92"/>
      <c r="V85" s="92"/>
      <c r="W85" s="92"/>
      <c r="X85" s="92"/>
      <c r="Y85" s="92"/>
      <c r="Z85" s="92"/>
      <c r="AA85" s="90"/>
    </row>
    <row r="86" spans="1:27" x14ac:dyDescent="0.35">
      <c r="A86" s="1"/>
      <c r="B86" s="91"/>
      <c r="C86" s="91"/>
      <c r="D86" s="91"/>
      <c r="E86" s="91"/>
      <c r="F86" s="91"/>
      <c r="G86" s="91"/>
      <c r="H86" s="91"/>
      <c r="I86" s="91"/>
      <c r="J86" s="91"/>
      <c r="K86" s="91"/>
      <c r="L86" s="91"/>
      <c r="M86" s="91"/>
      <c r="N86" s="91"/>
      <c r="O86" s="92"/>
      <c r="P86" s="92"/>
      <c r="Q86" s="92"/>
      <c r="R86" s="92"/>
      <c r="S86" s="92"/>
      <c r="T86" s="92"/>
      <c r="U86" s="92"/>
      <c r="V86" s="92"/>
      <c r="W86" s="92"/>
      <c r="X86" s="92"/>
      <c r="Y86" s="92"/>
      <c r="Z86" s="92"/>
      <c r="AA86" s="90"/>
    </row>
    <row r="87" spans="1:27" x14ac:dyDescent="0.35">
      <c r="A87" s="1"/>
      <c r="B87" s="91"/>
      <c r="C87" s="91"/>
      <c r="D87" s="91"/>
      <c r="E87" s="91"/>
      <c r="F87" s="91"/>
      <c r="G87" s="91"/>
      <c r="H87" s="91"/>
      <c r="I87" s="91"/>
      <c r="J87" s="91"/>
      <c r="K87" s="91"/>
      <c r="L87" s="91"/>
      <c r="M87" s="91"/>
      <c r="N87" s="91"/>
      <c r="O87" s="92"/>
      <c r="P87" s="92"/>
      <c r="Q87" s="92"/>
      <c r="R87" s="92"/>
      <c r="S87" s="92"/>
      <c r="T87" s="92"/>
      <c r="U87" s="92"/>
      <c r="V87" s="92"/>
      <c r="W87" s="92"/>
      <c r="X87" s="92"/>
      <c r="Y87" s="92"/>
      <c r="Z87" s="92"/>
      <c r="AA87" s="90"/>
    </row>
    <row r="88" spans="1:27" x14ac:dyDescent="0.35">
      <c r="A88" s="1"/>
      <c r="B88" s="91"/>
      <c r="C88" s="91"/>
      <c r="D88" s="91"/>
      <c r="E88" s="91"/>
      <c r="F88" s="91"/>
      <c r="G88" s="91"/>
      <c r="H88" s="91"/>
      <c r="I88" s="91"/>
      <c r="J88" s="91"/>
      <c r="K88" s="91"/>
      <c r="L88" s="91"/>
      <c r="M88" s="91"/>
      <c r="N88" s="91"/>
      <c r="O88" s="92"/>
      <c r="P88" s="92"/>
      <c r="Q88" s="92"/>
      <c r="R88" s="92"/>
      <c r="S88" s="92"/>
      <c r="T88" s="92"/>
      <c r="U88" s="92"/>
      <c r="V88" s="92"/>
      <c r="W88" s="92"/>
      <c r="X88" s="92"/>
      <c r="Y88" s="92"/>
      <c r="Z88" s="92"/>
      <c r="AA88" s="90"/>
    </row>
    <row r="89" spans="1:27" x14ac:dyDescent="0.35">
      <c r="A89" s="1"/>
      <c r="B89" s="91"/>
      <c r="C89" s="91"/>
      <c r="D89" s="91"/>
      <c r="E89" s="91"/>
      <c r="F89" s="91"/>
      <c r="G89" s="91"/>
      <c r="H89" s="91"/>
      <c r="I89" s="91"/>
      <c r="J89" s="91"/>
      <c r="K89" s="91"/>
      <c r="L89" s="91"/>
      <c r="M89" s="91"/>
      <c r="N89" s="91"/>
      <c r="O89" s="92"/>
      <c r="P89" s="92"/>
      <c r="Q89" s="92"/>
      <c r="R89" s="92"/>
      <c r="S89" s="92"/>
      <c r="T89" s="92"/>
      <c r="U89" s="92"/>
      <c r="V89" s="92"/>
      <c r="W89" s="92"/>
      <c r="X89" s="92"/>
      <c r="Y89" s="92"/>
      <c r="Z89" s="92"/>
      <c r="AA89" s="90"/>
    </row>
    <row r="90" spans="1:27" x14ac:dyDescent="0.35">
      <c r="A90" s="1"/>
      <c r="B90" s="91"/>
      <c r="C90" s="91"/>
      <c r="D90" s="91"/>
      <c r="E90" s="91"/>
      <c r="F90" s="91"/>
      <c r="G90" s="91"/>
      <c r="H90" s="91"/>
      <c r="I90" s="91"/>
      <c r="J90" s="91"/>
      <c r="K90" s="91"/>
      <c r="L90" s="91"/>
      <c r="M90" s="91"/>
      <c r="N90" s="91"/>
      <c r="O90" s="92"/>
      <c r="P90" s="92"/>
      <c r="Q90" s="92"/>
      <c r="R90" s="92"/>
      <c r="S90" s="92"/>
      <c r="T90" s="92"/>
      <c r="U90" s="92"/>
      <c r="V90" s="92"/>
      <c r="W90" s="92"/>
      <c r="X90" s="92"/>
      <c r="Y90" s="92"/>
      <c r="Z90" s="92"/>
      <c r="AA90" s="90"/>
    </row>
    <row r="91" spans="1:27" x14ac:dyDescent="0.35">
      <c r="A91" s="1"/>
      <c r="B91" s="91"/>
      <c r="C91" s="91"/>
      <c r="D91" s="91"/>
      <c r="E91" s="91"/>
      <c r="F91" s="91"/>
      <c r="G91" s="91"/>
      <c r="H91" s="91"/>
      <c r="I91" s="91"/>
      <c r="J91" s="91"/>
      <c r="K91" s="91"/>
      <c r="L91" s="91"/>
      <c r="M91" s="91"/>
      <c r="N91" s="91"/>
      <c r="O91" s="92"/>
      <c r="P91" s="92"/>
      <c r="Q91" s="92"/>
      <c r="R91" s="92"/>
      <c r="S91" s="92"/>
      <c r="T91" s="92"/>
      <c r="U91" s="92"/>
      <c r="V91" s="92"/>
      <c r="W91" s="92"/>
      <c r="X91" s="92"/>
      <c r="Y91" s="92"/>
      <c r="Z91" s="92"/>
      <c r="AA91" s="90"/>
    </row>
    <row r="92" spans="1:27" x14ac:dyDescent="0.35">
      <c r="A92" s="1"/>
      <c r="B92" s="91"/>
      <c r="C92" s="91"/>
      <c r="D92" s="91"/>
      <c r="E92" s="91"/>
      <c r="F92" s="91"/>
      <c r="G92" s="91"/>
      <c r="H92" s="91"/>
      <c r="I92" s="91"/>
      <c r="J92" s="91"/>
      <c r="K92" s="91"/>
      <c r="L92" s="91"/>
      <c r="M92" s="91"/>
      <c r="N92" s="91"/>
      <c r="O92" s="92"/>
      <c r="P92" s="92"/>
      <c r="Q92" s="92"/>
      <c r="R92" s="92"/>
      <c r="S92" s="92"/>
      <c r="T92" s="92"/>
      <c r="U92" s="92"/>
      <c r="V92" s="92"/>
      <c r="W92" s="92"/>
      <c r="X92" s="92"/>
      <c r="Y92" s="92"/>
      <c r="Z92" s="92"/>
      <c r="AA92" s="90"/>
    </row>
    <row r="93" spans="1:27" x14ac:dyDescent="0.35">
      <c r="A93" s="1"/>
      <c r="B93" s="91"/>
      <c r="C93" s="91"/>
      <c r="D93" s="91"/>
      <c r="E93" s="91"/>
      <c r="F93" s="91"/>
      <c r="G93" s="91"/>
      <c r="H93" s="91"/>
      <c r="I93" s="91"/>
      <c r="J93" s="91"/>
      <c r="K93" s="91"/>
      <c r="L93" s="91"/>
      <c r="M93" s="91"/>
      <c r="N93" s="91"/>
      <c r="O93" s="92"/>
      <c r="P93" s="92"/>
      <c r="Q93" s="92"/>
      <c r="R93" s="92"/>
      <c r="S93" s="92"/>
      <c r="T93" s="92"/>
      <c r="U93" s="92"/>
      <c r="V93" s="92"/>
      <c r="W93" s="92"/>
      <c r="X93" s="92"/>
      <c r="Y93" s="92"/>
      <c r="Z93" s="92"/>
      <c r="AA93" s="90"/>
    </row>
    <row r="94" spans="1:27" x14ac:dyDescent="0.35">
      <c r="A94" s="1"/>
      <c r="B94" s="91"/>
      <c r="C94" s="91"/>
      <c r="D94" s="91"/>
      <c r="E94" s="91"/>
      <c r="F94" s="91"/>
      <c r="G94" s="91"/>
      <c r="H94" s="91"/>
      <c r="I94" s="91"/>
      <c r="J94" s="91"/>
      <c r="K94" s="91"/>
      <c r="L94" s="91"/>
      <c r="M94" s="91"/>
      <c r="N94" s="91"/>
      <c r="O94" s="92"/>
      <c r="P94" s="92"/>
      <c r="Q94" s="92"/>
      <c r="R94" s="92"/>
      <c r="S94" s="92"/>
      <c r="T94" s="92"/>
      <c r="U94" s="92"/>
      <c r="V94" s="92"/>
      <c r="W94" s="92"/>
      <c r="X94" s="92"/>
      <c r="Y94" s="92"/>
      <c r="Z94" s="92"/>
      <c r="AA94" s="90"/>
    </row>
    <row r="95" spans="1:27" x14ac:dyDescent="0.35">
      <c r="A95" s="1"/>
      <c r="B95" s="91"/>
      <c r="C95" s="91"/>
      <c r="D95" s="91"/>
      <c r="E95" s="91"/>
      <c r="F95" s="91"/>
      <c r="G95" s="91"/>
      <c r="H95" s="91"/>
      <c r="I95" s="91"/>
      <c r="J95" s="91"/>
      <c r="K95" s="91"/>
      <c r="L95" s="91"/>
      <c r="M95" s="91"/>
      <c r="N95" s="91"/>
      <c r="O95" s="92"/>
      <c r="P95" s="92"/>
      <c r="Q95" s="92"/>
      <c r="R95" s="92"/>
      <c r="S95" s="92"/>
      <c r="T95" s="92"/>
      <c r="U95" s="92"/>
      <c r="V95" s="92"/>
      <c r="W95" s="92"/>
      <c r="X95" s="92"/>
      <c r="Y95" s="92"/>
      <c r="Z95" s="92"/>
      <c r="AA95" s="90"/>
    </row>
    <row r="96" spans="1:27" x14ac:dyDescent="0.35">
      <c r="A96" s="1"/>
      <c r="B96" s="91"/>
      <c r="C96" s="91"/>
      <c r="D96" s="91"/>
      <c r="E96" s="91"/>
      <c r="F96" s="91"/>
      <c r="G96" s="91"/>
      <c r="H96" s="91"/>
      <c r="I96" s="91"/>
      <c r="J96" s="91"/>
      <c r="K96" s="91"/>
      <c r="L96" s="91"/>
      <c r="M96" s="91"/>
      <c r="N96" s="91"/>
      <c r="O96" s="92"/>
      <c r="P96" s="92"/>
      <c r="Q96" s="92"/>
      <c r="R96" s="92"/>
      <c r="S96" s="92"/>
      <c r="T96" s="92"/>
      <c r="U96" s="92"/>
      <c r="V96" s="92"/>
      <c r="W96" s="92"/>
      <c r="X96" s="92"/>
      <c r="Y96" s="92"/>
      <c r="Z96" s="92"/>
      <c r="AA96" s="90"/>
    </row>
    <row r="97" spans="1:27" x14ac:dyDescent="0.35">
      <c r="A97" s="1"/>
      <c r="B97" s="91"/>
      <c r="C97" s="91"/>
      <c r="D97" s="91"/>
      <c r="E97" s="91"/>
      <c r="F97" s="91"/>
      <c r="G97" s="91"/>
      <c r="H97" s="91"/>
      <c r="I97" s="91"/>
      <c r="J97" s="91"/>
      <c r="K97" s="91"/>
      <c r="L97" s="91"/>
      <c r="M97" s="91"/>
      <c r="N97" s="91"/>
      <c r="O97" s="92"/>
      <c r="P97" s="92"/>
      <c r="Q97" s="92"/>
      <c r="R97" s="92"/>
      <c r="S97" s="92"/>
      <c r="T97" s="92"/>
      <c r="U97" s="92"/>
      <c r="V97" s="92"/>
      <c r="W97" s="92"/>
      <c r="X97" s="92"/>
      <c r="Y97" s="92"/>
      <c r="Z97" s="92"/>
      <c r="AA97" s="90"/>
    </row>
    <row r="98" spans="1:27" x14ac:dyDescent="0.35">
      <c r="A98" s="1"/>
      <c r="B98" s="91"/>
      <c r="C98" s="91"/>
      <c r="D98" s="91"/>
      <c r="E98" s="91"/>
      <c r="F98" s="91"/>
      <c r="G98" s="91"/>
      <c r="H98" s="91"/>
      <c r="I98" s="91"/>
      <c r="J98" s="91"/>
      <c r="K98" s="91"/>
      <c r="L98" s="91"/>
      <c r="M98" s="91"/>
      <c r="N98" s="91"/>
      <c r="O98" s="92"/>
      <c r="P98" s="92"/>
      <c r="Q98" s="92"/>
      <c r="R98" s="92"/>
      <c r="S98" s="92"/>
      <c r="T98" s="92"/>
      <c r="U98" s="92"/>
      <c r="V98" s="92"/>
      <c r="W98" s="92"/>
      <c r="X98" s="92"/>
      <c r="Y98" s="92"/>
      <c r="Z98" s="92"/>
      <c r="AA98" s="90"/>
    </row>
    <row r="99" spans="1:27" x14ac:dyDescent="0.35">
      <c r="A99" s="1"/>
      <c r="B99" s="91"/>
      <c r="C99" s="91"/>
      <c r="D99" s="91"/>
      <c r="E99" s="91"/>
      <c r="F99" s="91"/>
      <c r="G99" s="91"/>
      <c r="H99" s="91"/>
      <c r="I99" s="91"/>
      <c r="J99" s="91"/>
      <c r="K99" s="91"/>
      <c r="L99" s="91"/>
      <c r="M99" s="91"/>
      <c r="N99" s="91"/>
      <c r="O99" s="92"/>
      <c r="P99" s="92"/>
      <c r="Q99" s="92"/>
      <c r="R99" s="92"/>
      <c r="S99" s="92"/>
      <c r="T99" s="92"/>
      <c r="U99" s="92"/>
      <c r="V99" s="92"/>
      <c r="W99" s="92"/>
      <c r="X99" s="92"/>
      <c r="Y99" s="92"/>
      <c r="Z99" s="92"/>
      <c r="AA99" s="90"/>
    </row>
    <row r="100" spans="1:27" x14ac:dyDescent="0.35">
      <c r="A100" s="1"/>
      <c r="B100" s="91"/>
      <c r="C100" s="91"/>
      <c r="D100" s="91"/>
      <c r="E100" s="91"/>
      <c r="F100" s="91"/>
      <c r="G100" s="91"/>
      <c r="H100" s="91"/>
      <c r="I100" s="91"/>
      <c r="J100" s="91"/>
      <c r="K100" s="91"/>
      <c r="L100" s="91"/>
      <c r="M100" s="91"/>
      <c r="N100" s="91"/>
      <c r="O100" s="92"/>
      <c r="P100" s="92"/>
      <c r="Q100" s="92"/>
      <c r="R100" s="92"/>
      <c r="S100" s="92"/>
      <c r="T100" s="92"/>
      <c r="U100" s="92"/>
      <c r="V100" s="92"/>
      <c r="W100" s="92"/>
      <c r="X100" s="92"/>
      <c r="Y100" s="92"/>
      <c r="Z100" s="92"/>
      <c r="AA100" s="90"/>
    </row>
    <row r="101" spans="1:27" x14ac:dyDescent="0.35">
      <c r="A101" s="1"/>
      <c r="B101" s="91"/>
      <c r="C101" s="91"/>
      <c r="D101" s="91"/>
      <c r="E101" s="91"/>
      <c r="F101" s="91"/>
      <c r="G101" s="91"/>
      <c r="H101" s="91"/>
      <c r="I101" s="91"/>
      <c r="J101" s="91"/>
      <c r="K101" s="91"/>
      <c r="L101" s="91"/>
      <c r="M101" s="91"/>
      <c r="N101" s="91"/>
      <c r="O101" s="92"/>
      <c r="P101" s="92"/>
      <c r="Q101" s="92"/>
      <c r="R101" s="92"/>
      <c r="S101" s="92"/>
      <c r="T101" s="92"/>
      <c r="U101" s="92"/>
      <c r="V101" s="92"/>
      <c r="W101" s="92"/>
      <c r="X101" s="92"/>
      <c r="Y101" s="92"/>
      <c r="Z101" s="92"/>
      <c r="AA101" s="90"/>
    </row>
    <row r="102" spans="1:27" x14ac:dyDescent="0.35">
      <c r="A102" s="1"/>
      <c r="B102" s="91"/>
      <c r="C102" s="91"/>
      <c r="D102" s="91"/>
      <c r="E102" s="91"/>
      <c r="F102" s="91"/>
      <c r="G102" s="91"/>
      <c r="H102" s="91"/>
      <c r="I102" s="91"/>
      <c r="J102" s="91"/>
      <c r="K102" s="91"/>
      <c r="L102" s="91"/>
      <c r="M102" s="91"/>
      <c r="N102" s="91"/>
      <c r="O102" s="92"/>
      <c r="P102" s="92"/>
      <c r="Q102" s="92"/>
      <c r="R102" s="92"/>
      <c r="S102" s="92"/>
      <c r="T102" s="92"/>
      <c r="U102" s="92"/>
      <c r="V102" s="92"/>
      <c r="W102" s="92"/>
      <c r="X102" s="92"/>
      <c r="Y102" s="92"/>
      <c r="Z102" s="92"/>
      <c r="AA102" s="90"/>
    </row>
    <row r="103" spans="1:27" x14ac:dyDescent="0.35">
      <c r="A103" s="1"/>
      <c r="B103" s="91"/>
      <c r="C103" s="91"/>
      <c r="D103" s="91"/>
      <c r="E103" s="91"/>
      <c r="F103" s="91"/>
      <c r="G103" s="91"/>
      <c r="H103" s="91"/>
      <c r="I103" s="91"/>
      <c r="J103" s="91"/>
      <c r="K103" s="91"/>
      <c r="L103" s="91"/>
      <c r="M103" s="91"/>
      <c r="N103" s="91"/>
      <c r="O103" s="92"/>
      <c r="P103" s="92"/>
      <c r="Q103" s="92"/>
      <c r="R103" s="92"/>
      <c r="S103" s="92"/>
      <c r="T103" s="92"/>
      <c r="U103" s="92"/>
      <c r="V103" s="92"/>
      <c r="W103" s="92"/>
      <c r="X103" s="92"/>
      <c r="Y103" s="92"/>
      <c r="Z103" s="92"/>
      <c r="AA103" s="90"/>
    </row>
    <row r="104" spans="1:27" x14ac:dyDescent="0.35">
      <c r="A104" s="1"/>
      <c r="B104" s="91"/>
      <c r="C104" s="91"/>
      <c r="D104" s="91"/>
      <c r="E104" s="91"/>
      <c r="F104" s="91"/>
      <c r="G104" s="91"/>
      <c r="H104" s="91"/>
      <c r="I104" s="91"/>
      <c r="J104" s="91"/>
      <c r="K104" s="91"/>
      <c r="L104" s="91"/>
      <c r="M104" s="91"/>
      <c r="N104" s="91"/>
      <c r="O104" s="92"/>
      <c r="P104" s="92"/>
      <c r="Q104" s="92"/>
      <c r="R104" s="92"/>
      <c r="S104" s="92"/>
      <c r="T104" s="92"/>
      <c r="U104" s="92"/>
      <c r="V104" s="92"/>
      <c r="W104" s="92"/>
      <c r="X104" s="92"/>
      <c r="Y104" s="92"/>
      <c r="Z104" s="92"/>
      <c r="AA104" s="90"/>
    </row>
    <row r="105" spans="1:27" x14ac:dyDescent="0.35">
      <c r="A105" s="1"/>
      <c r="B105" s="91"/>
      <c r="C105" s="91"/>
      <c r="D105" s="91"/>
      <c r="E105" s="91"/>
      <c r="F105" s="91"/>
      <c r="G105" s="91"/>
      <c r="H105" s="91"/>
      <c r="I105" s="91"/>
      <c r="J105" s="91"/>
      <c r="K105" s="91"/>
      <c r="L105" s="91"/>
      <c r="M105" s="91"/>
      <c r="N105" s="91"/>
      <c r="O105" s="92"/>
      <c r="P105" s="92"/>
      <c r="Q105" s="92"/>
      <c r="R105" s="92"/>
      <c r="S105" s="92"/>
      <c r="T105" s="92"/>
      <c r="U105" s="92"/>
      <c r="V105" s="92"/>
      <c r="W105" s="92"/>
      <c r="X105" s="92"/>
      <c r="Y105" s="92"/>
      <c r="Z105" s="92"/>
      <c r="AA105" s="90"/>
    </row>
    <row r="106" spans="1:27" x14ac:dyDescent="0.35">
      <c r="A106" s="1"/>
      <c r="B106" s="91"/>
      <c r="C106" s="91"/>
      <c r="D106" s="91"/>
      <c r="E106" s="91"/>
      <c r="F106" s="91"/>
      <c r="G106" s="91"/>
      <c r="H106" s="91"/>
      <c r="I106" s="91"/>
      <c r="J106" s="91"/>
      <c r="K106" s="91"/>
      <c r="L106" s="91"/>
      <c r="M106" s="91"/>
      <c r="N106" s="91"/>
      <c r="O106" s="92"/>
      <c r="P106" s="92"/>
      <c r="Q106" s="92"/>
      <c r="R106" s="92"/>
      <c r="S106" s="92"/>
      <c r="T106" s="92"/>
      <c r="U106" s="92"/>
      <c r="V106" s="92"/>
      <c r="W106" s="92"/>
      <c r="X106" s="92"/>
      <c r="Y106" s="92"/>
      <c r="Z106" s="92"/>
      <c r="AA106" s="90"/>
    </row>
    <row r="107" spans="1:27" x14ac:dyDescent="0.35">
      <c r="A107" s="1"/>
      <c r="B107" s="91"/>
      <c r="C107" s="91"/>
      <c r="D107" s="91"/>
      <c r="E107" s="91"/>
      <c r="F107" s="91"/>
      <c r="G107" s="91"/>
      <c r="H107" s="91"/>
      <c r="I107" s="91"/>
      <c r="J107" s="91"/>
      <c r="K107" s="91"/>
      <c r="L107" s="91"/>
      <c r="M107" s="91"/>
      <c r="N107" s="91"/>
      <c r="O107" s="92"/>
      <c r="P107" s="92"/>
      <c r="Q107" s="92"/>
      <c r="R107" s="92"/>
      <c r="S107" s="92"/>
      <c r="T107" s="92"/>
      <c r="U107" s="92"/>
      <c r="V107" s="92"/>
      <c r="W107" s="92"/>
      <c r="X107" s="92"/>
      <c r="Y107" s="92"/>
      <c r="Z107" s="92"/>
      <c r="AA107" s="90"/>
    </row>
    <row r="108" spans="1:27" x14ac:dyDescent="0.35">
      <c r="A108" s="1"/>
      <c r="B108" s="91"/>
      <c r="C108" s="91"/>
      <c r="D108" s="91"/>
      <c r="E108" s="91"/>
      <c r="F108" s="91"/>
      <c r="G108" s="91"/>
      <c r="H108" s="91"/>
      <c r="I108" s="91"/>
      <c r="J108" s="91"/>
      <c r="K108" s="91"/>
      <c r="L108" s="91"/>
      <c r="M108" s="91"/>
      <c r="N108" s="91"/>
      <c r="O108" s="92"/>
      <c r="P108" s="92"/>
      <c r="Q108" s="92"/>
      <c r="R108" s="92"/>
      <c r="S108" s="92"/>
      <c r="T108" s="92"/>
      <c r="U108" s="92"/>
      <c r="V108" s="92"/>
      <c r="W108" s="92"/>
      <c r="X108" s="92"/>
      <c r="Y108" s="92"/>
      <c r="Z108" s="92"/>
      <c r="AA108" s="90"/>
    </row>
    <row r="109" spans="1:27" x14ac:dyDescent="0.35">
      <c r="A109" s="1"/>
      <c r="B109" s="91"/>
      <c r="C109" s="91"/>
      <c r="D109" s="91"/>
      <c r="E109" s="91"/>
      <c r="F109" s="91"/>
      <c r="G109" s="91"/>
      <c r="H109" s="91"/>
      <c r="I109" s="91"/>
      <c r="J109" s="91"/>
      <c r="K109" s="91"/>
      <c r="L109" s="91"/>
      <c r="M109" s="91"/>
      <c r="N109" s="91"/>
      <c r="O109" s="92"/>
      <c r="P109" s="92"/>
      <c r="Q109" s="92"/>
      <c r="R109" s="92"/>
      <c r="S109" s="92"/>
      <c r="T109" s="92"/>
      <c r="U109" s="92"/>
      <c r="V109" s="92"/>
      <c r="W109" s="92"/>
      <c r="X109" s="92"/>
      <c r="Y109" s="92"/>
      <c r="Z109" s="92"/>
      <c r="AA109" s="90"/>
    </row>
    <row r="110" spans="1:27" x14ac:dyDescent="0.35">
      <c r="A110" s="1"/>
      <c r="B110" s="91"/>
      <c r="C110" s="91"/>
      <c r="D110" s="91"/>
      <c r="E110" s="91"/>
      <c r="F110" s="91"/>
      <c r="G110" s="91"/>
      <c r="H110" s="91"/>
      <c r="I110" s="91"/>
      <c r="J110" s="91"/>
      <c r="K110" s="91"/>
      <c r="L110" s="91"/>
      <c r="M110" s="91"/>
      <c r="N110" s="91"/>
      <c r="O110" s="92"/>
      <c r="P110" s="92"/>
      <c r="Q110" s="92"/>
      <c r="R110" s="92"/>
      <c r="S110" s="92"/>
      <c r="T110" s="92"/>
      <c r="U110" s="92"/>
      <c r="V110" s="92"/>
      <c r="W110" s="92"/>
      <c r="X110" s="92"/>
      <c r="Y110" s="92"/>
      <c r="Z110" s="92"/>
      <c r="AA110" s="90"/>
    </row>
    <row r="111" spans="1:27" x14ac:dyDescent="0.35">
      <c r="A111" s="1"/>
      <c r="B111" s="91"/>
      <c r="C111" s="91"/>
      <c r="D111" s="91"/>
      <c r="E111" s="91"/>
      <c r="F111" s="91"/>
      <c r="G111" s="91"/>
      <c r="H111" s="91"/>
      <c r="I111" s="91"/>
      <c r="J111" s="91"/>
      <c r="K111" s="91"/>
      <c r="L111" s="91"/>
      <c r="M111" s="91"/>
      <c r="N111" s="91"/>
      <c r="O111" s="92"/>
      <c r="P111" s="92"/>
      <c r="Q111" s="92"/>
      <c r="R111" s="92"/>
      <c r="S111" s="92"/>
      <c r="T111" s="92"/>
      <c r="U111" s="92"/>
      <c r="V111" s="92"/>
      <c r="W111" s="92"/>
      <c r="X111" s="92"/>
      <c r="Y111" s="92"/>
      <c r="Z111" s="92"/>
      <c r="AA111" s="90"/>
    </row>
    <row r="112" spans="1:27" x14ac:dyDescent="0.35">
      <c r="A112" s="1"/>
      <c r="B112" s="91"/>
      <c r="C112" s="91"/>
      <c r="D112" s="91"/>
      <c r="E112" s="91"/>
      <c r="F112" s="91"/>
      <c r="G112" s="91"/>
      <c r="H112" s="91"/>
      <c r="I112" s="91"/>
      <c r="J112" s="91"/>
      <c r="K112" s="91"/>
      <c r="L112" s="91"/>
      <c r="M112" s="91"/>
      <c r="N112" s="91"/>
      <c r="O112" s="92"/>
      <c r="P112" s="92"/>
      <c r="Q112" s="92"/>
      <c r="R112" s="92"/>
      <c r="S112" s="92"/>
      <c r="T112" s="92"/>
      <c r="U112" s="92"/>
      <c r="V112" s="92"/>
      <c r="W112" s="92"/>
      <c r="X112" s="92"/>
      <c r="Y112" s="92"/>
      <c r="Z112" s="92"/>
      <c r="AA112" s="90"/>
    </row>
    <row r="113" spans="1:27" x14ac:dyDescent="0.35">
      <c r="A113" s="1"/>
      <c r="B113" s="91"/>
      <c r="C113" s="91"/>
      <c r="D113" s="91"/>
      <c r="E113" s="91"/>
      <c r="F113" s="91"/>
      <c r="G113" s="91"/>
      <c r="H113" s="91"/>
      <c r="I113" s="91"/>
      <c r="J113" s="91"/>
      <c r="K113" s="91"/>
      <c r="L113" s="91"/>
      <c r="M113" s="91"/>
      <c r="N113" s="91"/>
      <c r="O113" s="92"/>
      <c r="P113" s="92"/>
      <c r="Q113" s="92"/>
      <c r="R113" s="92"/>
      <c r="S113" s="92"/>
      <c r="T113" s="92"/>
      <c r="U113" s="92"/>
      <c r="V113" s="92"/>
      <c r="W113" s="92"/>
      <c r="X113" s="92"/>
      <c r="Y113" s="92"/>
      <c r="Z113" s="92"/>
      <c r="AA113" s="90"/>
    </row>
    <row r="114" spans="1:27" x14ac:dyDescent="0.35">
      <c r="A114" s="1"/>
      <c r="B114" s="91"/>
      <c r="C114" s="91"/>
      <c r="D114" s="91"/>
      <c r="E114" s="91"/>
      <c r="F114" s="91"/>
      <c r="G114" s="91"/>
      <c r="H114" s="91"/>
      <c r="I114" s="91"/>
      <c r="J114" s="91"/>
      <c r="K114" s="91"/>
      <c r="L114" s="91"/>
      <c r="M114" s="91"/>
      <c r="N114" s="91"/>
      <c r="O114" s="92"/>
      <c r="P114" s="92"/>
      <c r="Q114" s="92"/>
      <c r="R114" s="92"/>
      <c r="S114" s="92"/>
      <c r="T114" s="92"/>
      <c r="U114" s="92"/>
      <c r="V114" s="92"/>
      <c r="W114" s="92"/>
      <c r="X114" s="92"/>
      <c r="Y114" s="92"/>
      <c r="Z114" s="92"/>
      <c r="AA114" s="90"/>
    </row>
    <row r="115" spans="1:27" x14ac:dyDescent="0.35">
      <c r="A115" s="1"/>
      <c r="B115" s="91"/>
      <c r="C115" s="91"/>
      <c r="D115" s="91"/>
      <c r="E115" s="91"/>
      <c r="F115" s="91"/>
      <c r="G115" s="91"/>
      <c r="H115" s="91"/>
      <c r="I115" s="91"/>
      <c r="J115" s="91"/>
      <c r="K115" s="91"/>
      <c r="L115" s="91"/>
      <c r="M115" s="91"/>
      <c r="N115" s="91"/>
      <c r="O115" s="92"/>
      <c r="P115" s="92"/>
      <c r="Q115" s="92"/>
      <c r="R115" s="92"/>
      <c r="S115" s="92"/>
      <c r="T115" s="92"/>
      <c r="U115" s="92"/>
      <c r="V115" s="92"/>
      <c r="W115" s="92"/>
      <c r="X115" s="92"/>
      <c r="Y115" s="92"/>
      <c r="Z115" s="92"/>
      <c r="AA115" s="90"/>
    </row>
    <row r="116" spans="1:27" x14ac:dyDescent="0.35">
      <c r="A116" s="1"/>
      <c r="B116" s="91"/>
      <c r="C116" s="91"/>
      <c r="D116" s="91"/>
      <c r="E116" s="91"/>
      <c r="F116" s="91"/>
      <c r="G116" s="91"/>
      <c r="H116" s="91"/>
      <c r="I116" s="91"/>
      <c r="J116" s="91"/>
      <c r="K116" s="91"/>
      <c r="L116" s="91"/>
      <c r="M116" s="91"/>
      <c r="N116" s="91"/>
      <c r="O116" s="92"/>
      <c r="P116" s="92"/>
      <c r="Q116" s="92"/>
      <c r="R116" s="92"/>
      <c r="S116" s="92"/>
      <c r="T116" s="92"/>
      <c r="U116" s="92"/>
      <c r="V116" s="92"/>
      <c r="W116" s="92"/>
      <c r="X116" s="92"/>
      <c r="Y116" s="92"/>
      <c r="Z116" s="92"/>
      <c r="AA116" s="90"/>
    </row>
    <row r="117" spans="1:27" x14ac:dyDescent="0.35">
      <c r="A117" s="1"/>
      <c r="B117" s="91"/>
      <c r="C117" s="91"/>
      <c r="D117" s="91"/>
      <c r="E117" s="91"/>
      <c r="F117" s="91"/>
      <c r="G117" s="91"/>
      <c r="H117" s="91"/>
      <c r="I117" s="91"/>
      <c r="J117" s="91"/>
      <c r="K117" s="91"/>
      <c r="L117" s="91"/>
      <c r="M117" s="91"/>
      <c r="N117" s="91"/>
      <c r="O117" s="92"/>
      <c r="P117" s="92"/>
      <c r="Q117" s="92"/>
      <c r="R117" s="92"/>
      <c r="S117" s="92"/>
      <c r="T117" s="92"/>
      <c r="U117" s="92"/>
      <c r="V117" s="92"/>
      <c r="W117" s="92"/>
      <c r="X117" s="92"/>
      <c r="Y117" s="92"/>
      <c r="Z117" s="92"/>
      <c r="AA117" s="90"/>
    </row>
    <row r="118" spans="1:27" x14ac:dyDescent="0.35">
      <c r="A118" s="1"/>
      <c r="B118" s="91"/>
      <c r="C118" s="91"/>
      <c r="D118" s="91"/>
      <c r="E118" s="91"/>
      <c r="F118" s="91"/>
      <c r="G118" s="91"/>
      <c r="H118" s="91"/>
      <c r="I118" s="91"/>
      <c r="J118" s="91"/>
      <c r="K118" s="91"/>
      <c r="L118" s="91"/>
      <c r="M118" s="91"/>
      <c r="N118" s="91"/>
      <c r="O118" s="92"/>
      <c r="P118" s="92"/>
      <c r="Q118" s="92"/>
      <c r="R118" s="92"/>
      <c r="S118" s="92"/>
      <c r="T118" s="92"/>
      <c r="U118" s="92"/>
      <c r="V118" s="92"/>
      <c r="W118" s="92"/>
      <c r="X118" s="92"/>
      <c r="Y118" s="92"/>
      <c r="Z118" s="92"/>
      <c r="AA118" s="90"/>
    </row>
    <row r="119" spans="1:27" x14ac:dyDescent="0.35">
      <c r="A119" s="1"/>
      <c r="B119" s="91"/>
      <c r="C119" s="91"/>
      <c r="D119" s="91"/>
      <c r="E119" s="91"/>
      <c r="F119" s="91"/>
      <c r="G119" s="91"/>
      <c r="H119" s="91"/>
      <c r="I119" s="91"/>
      <c r="J119" s="91"/>
      <c r="K119" s="91"/>
      <c r="L119" s="91"/>
      <c r="M119" s="91"/>
      <c r="N119" s="91"/>
      <c r="O119" s="92"/>
      <c r="P119" s="92"/>
      <c r="Q119" s="92"/>
      <c r="R119" s="92"/>
      <c r="S119" s="92"/>
      <c r="T119" s="92"/>
      <c r="U119" s="92"/>
      <c r="V119" s="92"/>
      <c r="W119" s="92"/>
      <c r="X119" s="92"/>
      <c r="Y119" s="92"/>
      <c r="Z119" s="92"/>
      <c r="AA119" s="90"/>
    </row>
    <row r="120" spans="1:27" x14ac:dyDescent="0.35">
      <c r="A120" s="1"/>
      <c r="B120" s="91"/>
      <c r="C120" s="91"/>
      <c r="D120" s="91"/>
      <c r="E120" s="91"/>
      <c r="F120" s="91"/>
      <c r="G120" s="91"/>
      <c r="H120" s="91"/>
      <c r="I120" s="91"/>
      <c r="J120" s="91"/>
      <c r="K120" s="91"/>
      <c r="L120" s="91"/>
      <c r="M120" s="91"/>
      <c r="N120" s="91"/>
      <c r="O120" s="92"/>
      <c r="P120" s="92"/>
      <c r="Q120" s="92"/>
      <c r="R120" s="92"/>
      <c r="S120" s="92"/>
      <c r="T120" s="92"/>
      <c r="U120" s="92"/>
      <c r="V120" s="92"/>
      <c r="W120" s="92"/>
      <c r="X120" s="92"/>
      <c r="Y120" s="92"/>
      <c r="Z120" s="92"/>
      <c r="AA120" s="90"/>
    </row>
    <row r="121" spans="1:27" x14ac:dyDescent="0.35">
      <c r="A121" s="1"/>
      <c r="B121" s="91"/>
      <c r="C121" s="91"/>
      <c r="D121" s="91"/>
      <c r="E121" s="91"/>
      <c r="F121" s="91"/>
      <c r="G121" s="91"/>
      <c r="H121" s="91"/>
      <c r="I121" s="91"/>
      <c r="J121" s="91"/>
      <c r="K121" s="91"/>
      <c r="L121" s="91"/>
      <c r="M121" s="91"/>
      <c r="N121" s="91"/>
      <c r="O121" s="92"/>
      <c r="P121" s="92"/>
      <c r="Q121" s="92"/>
      <c r="R121" s="92"/>
      <c r="S121" s="92"/>
      <c r="T121" s="92"/>
      <c r="U121" s="92"/>
      <c r="V121" s="92"/>
      <c r="W121" s="92"/>
      <c r="X121" s="92"/>
      <c r="Y121" s="92"/>
      <c r="Z121" s="92"/>
      <c r="AA121" s="90"/>
    </row>
    <row r="122" spans="1:27" x14ac:dyDescent="0.35">
      <c r="A122" s="1"/>
      <c r="B122" s="91"/>
      <c r="C122" s="91"/>
      <c r="D122" s="91"/>
      <c r="E122" s="91"/>
      <c r="F122" s="91"/>
      <c r="G122" s="91"/>
      <c r="H122" s="91"/>
      <c r="I122" s="91"/>
      <c r="J122" s="91"/>
      <c r="K122" s="91"/>
      <c r="L122" s="91"/>
      <c r="M122" s="91"/>
      <c r="N122" s="91"/>
      <c r="O122" s="92"/>
      <c r="P122" s="92"/>
      <c r="Q122" s="92"/>
      <c r="R122" s="92"/>
      <c r="S122" s="92"/>
      <c r="T122" s="92"/>
      <c r="U122" s="92"/>
      <c r="V122" s="92"/>
      <c r="W122" s="92"/>
      <c r="X122" s="92"/>
      <c r="Y122" s="92"/>
      <c r="Z122" s="92"/>
      <c r="AA122" s="90"/>
    </row>
    <row r="123" spans="1:27" x14ac:dyDescent="0.35">
      <c r="A123" s="1"/>
      <c r="B123" s="91"/>
      <c r="C123" s="91"/>
      <c r="D123" s="91"/>
      <c r="E123" s="91"/>
      <c r="F123" s="91"/>
      <c r="G123" s="91"/>
      <c r="H123" s="91"/>
      <c r="I123" s="91"/>
      <c r="J123" s="91"/>
      <c r="K123" s="91"/>
      <c r="L123" s="91"/>
      <c r="M123" s="91"/>
      <c r="N123" s="91"/>
      <c r="O123" s="92"/>
      <c r="P123" s="92"/>
      <c r="Q123" s="92"/>
      <c r="R123" s="92"/>
      <c r="S123" s="92"/>
      <c r="T123" s="92"/>
      <c r="U123" s="92"/>
      <c r="V123" s="92"/>
      <c r="W123" s="92"/>
      <c r="X123" s="92"/>
      <c r="Y123" s="92"/>
      <c r="Z123" s="92"/>
      <c r="AA123" s="90"/>
    </row>
    <row r="124" spans="1:27" x14ac:dyDescent="0.35">
      <c r="A124" s="1"/>
      <c r="B124" s="91"/>
      <c r="C124" s="91"/>
      <c r="D124" s="91"/>
      <c r="E124" s="91"/>
      <c r="F124" s="91"/>
      <c r="G124" s="91"/>
      <c r="H124" s="91"/>
      <c r="I124" s="91"/>
      <c r="J124" s="91"/>
      <c r="K124" s="91"/>
      <c r="L124" s="91"/>
      <c r="M124" s="91"/>
      <c r="N124" s="91"/>
      <c r="O124" s="92"/>
      <c r="P124" s="92"/>
      <c r="Q124" s="92"/>
      <c r="R124" s="92"/>
      <c r="S124" s="92"/>
      <c r="T124" s="92"/>
      <c r="U124" s="92"/>
      <c r="V124" s="92"/>
      <c r="W124" s="92"/>
      <c r="X124" s="92"/>
      <c r="Y124" s="92"/>
      <c r="Z124" s="92"/>
      <c r="AA124" s="90"/>
    </row>
    <row r="125" spans="1:27" x14ac:dyDescent="0.35">
      <c r="A125" s="1"/>
      <c r="B125" s="91"/>
      <c r="C125" s="91"/>
      <c r="D125" s="91"/>
      <c r="E125" s="91"/>
      <c r="F125" s="91"/>
      <c r="G125" s="91"/>
      <c r="H125" s="91"/>
      <c r="I125" s="91"/>
      <c r="J125" s="91"/>
      <c r="K125" s="91"/>
      <c r="L125" s="91"/>
      <c r="M125" s="91"/>
      <c r="N125" s="91"/>
      <c r="O125" s="92"/>
      <c r="P125" s="92"/>
      <c r="Q125" s="92"/>
      <c r="R125" s="92"/>
      <c r="S125" s="92"/>
      <c r="T125" s="92"/>
      <c r="U125" s="92"/>
      <c r="V125" s="92"/>
      <c r="W125" s="92"/>
      <c r="X125" s="92"/>
      <c r="Y125" s="92"/>
      <c r="Z125" s="92"/>
      <c r="AA125" s="90"/>
    </row>
    <row r="126" spans="1:27" x14ac:dyDescent="0.35">
      <c r="A126" s="1"/>
      <c r="B126" s="91"/>
      <c r="C126" s="91"/>
      <c r="D126" s="91"/>
      <c r="E126" s="91"/>
      <c r="F126" s="91"/>
      <c r="G126" s="91"/>
      <c r="H126" s="91"/>
      <c r="I126" s="91"/>
      <c r="J126" s="91"/>
      <c r="K126" s="91"/>
      <c r="L126" s="91"/>
      <c r="M126" s="91"/>
      <c r="N126" s="91"/>
      <c r="O126" s="92"/>
      <c r="P126" s="92"/>
      <c r="Q126" s="92"/>
      <c r="R126" s="92"/>
      <c r="S126" s="92"/>
      <c r="T126" s="92"/>
      <c r="U126" s="92"/>
      <c r="V126" s="92"/>
      <c r="W126" s="92"/>
      <c r="X126" s="92"/>
      <c r="Y126" s="92"/>
      <c r="Z126" s="92"/>
      <c r="AA126" s="90"/>
    </row>
    <row r="127" spans="1:27" x14ac:dyDescent="0.35">
      <c r="A127" s="1"/>
      <c r="B127" s="91"/>
      <c r="C127" s="91"/>
      <c r="D127" s="91"/>
      <c r="E127" s="91"/>
      <c r="F127" s="91"/>
      <c r="G127" s="91"/>
      <c r="H127" s="91"/>
      <c r="I127" s="91"/>
      <c r="J127" s="91"/>
      <c r="K127" s="91"/>
      <c r="L127" s="91"/>
      <c r="M127" s="91"/>
      <c r="N127" s="91"/>
      <c r="O127" s="92"/>
      <c r="P127" s="92"/>
      <c r="Q127" s="92"/>
      <c r="R127" s="92"/>
      <c r="S127" s="92"/>
      <c r="T127" s="92"/>
      <c r="U127" s="92"/>
      <c r="V127" s="92"/>
      <c r="W127" s="92"/>
      <c r="X127" s="92"/>
      <c r="Y127" s="92"/>
      <c r="Z127" s="92"/>
      <c r="AA127" s="90"/>
    </row>
    <row r="128" spans="1:27" x14ac:dyDescent="0.35">
      <c r="A128" s="1"/>
      <c r="B128" s="91"/>
      <c r="C128" s="91"/>
      <c r="D128" s="91"/>
      <c r="E128" s="91"/>
      <c r="F128" s="91"/>
      <c r="G128" s="91"/>
      <c r="H128" s="91"/>
      <c r="I128" s="91"/>
      <c r="J128" s="91"/>
      <c r="K128" s="91"/>
      <c r="L128" s="91"/>
      <c r="M128" s="91"/>
      <c r="N128" s="91"/>
      <c r="O128" s="92"/>
      <c r="P128" s="92"/>
      <c r="Q128" s="92"/>
      <c r="R128" s="92"/>
      <c r="S128" s="92"/>
      <c r="T128" s="92"/>
      <c r="U128" s="92"/>
      <c r="V128" s="92"/>
      <c r="W128" s="92"/>
      <c r="X128" s="92"/>
      <c r="Y128" s="92"/>
      <c r="Z128" s="92"/>
      <c r="AA128" s="90"/>
    </row>
    <row r="129" spans="1:27" x14ac:dyDescent="0.35">
      <c r="A129" s="1"/>
      <c r="B129" s="91"/>
      <c r="C129" s="91"/>
      <c r="D129" s="91"/>
      <c r="E129" s="91"/>
      <c r="F129" s="91"/>
      <c r="G129" s="91"/>
      <c r="H129" s="91"/>
      <c r="I129" s="91"/>
      <c r="J129" s="91"/>
      <c r="K129" s="91"/>
      <c r="L129" s="91"/>
      <c r="M129" s="91"/>
      <c r="N129" s="91"/>
      <c r="O129" s="92"/>
      <c r="P129" s="92"/>
      <c r="Q129" s="92"/>
      <c r="R129" s="92"/>
      <c r="S129" s="92"/>
      <c r="T129" s="92"/>
      <c r="U129" s="92"/>
      <c r="V129" s="92"/>
      <c r="W129" s="92"/>
      <c r="X129" s="92"/>
      <c r="Y129" s="92"/>
      <c r="Z129" s="92"/>
      <c r="AA129" s="90"/>
    </row>
    <row r="130" spans="1:27" x14ac:dyDescent="0.35">
      <c r="A130" s="1"/>
      <c r="B130" s="91"/>
      <c r="C130" s="91"/>
      <c r="D130" s="91"/>
      <c r="E130" s="91"/>
      <c r="F130" s="91"/>
      <c r="G130" s="91"/>
      <c r="H130" s="91"/>
      <c r="I130" s="91"/>
      <c r="J130" s="91"/>
      <c r="K130" s="91"/>
      <c r="L130" s="91"/>
      <c r="M130" s="91"/>
      <c r="N130" s="91"/>
      <c r="O130" s="92"/>
      <c r="P130" s="92"/>
      <c r="Q130" s="92"/>
      <c r="R130" s="92"/>
      <c r="S130" s="92"/>
      <c r="T130" s="92"/>
      <c r="U130" s="92"/>
      <c r="V130" s="92"/>
      <c r="W130" s="92"/>
      <c r="X130" s="92"/>
      <c r="Y130" s="92"/>
      <c r="Z130" s="92"/>
      <c r="AA130" s="90"/>
    </row>
    <row r="131" spans="1:27" x14ac:dyDescent="0.35">
      <c r="A131" s="1"/>
      <c r="B131" s="91"/>
      <c r="C131" s="91"/>
      <c r="D131" s="91"/>
      <c r="E131" s="91"/>
      <c r="F131" s="91"/>
      <c r="G131" s="91"/>
      <c r="H131" s="91"/>
      <c r="I131" s="91"/>
      <c r="J131" s="91"/>
      <c r="K131" s="91"/>
      <c r="L131" s="91"/>
      <c r="M131" s="91"/>
      <c r="N131" s="91"/>
      <c r="O131" s="92"/>
      <c r="P131" s="92"/>
      <c r="Q131" s="92"/>
      <c r="R131" s="92"/>
      <c r="S131" s="92"/>
      <c r="T131" s="92"/>
      <c r="U131" s="92"/>
      <c r="V131" s="92"/>
      <c r="W131" s="92"/>
      <c r="X131" s="92"/>
      <c r="Y131" s="92"/>
      <c r="Z131" s="92"/>
      <c r="AA131" s="90"/>
    </row>
    <row r="132" spans="1:27" x14ac:dyDescent="0.35">
      <c r="A132" s="1"/>
      <c r="B132" s="91"/>
      <c r="C132" s="91"/>
      <c r="D132" s="91"/>
      <c r="E132" s="91"/>
      <c r="F132" s="91"/>
      <c r="G132" s="91"/>
      <c r="H132" s="91"/>
      <c r="I132" s="91"/>
      <c r="J132" s="91"/>
      <c r="K132" s="91"/>
      <c r="L132" s="91"/>
      <c r="M132" s="91"/>
      <c r="N132" s="91"/>
      <c r="O132" s="92"/>
      <c r="P132" s="92"/>
      <c r="Q132" s="92"/>
      <c r="R132" s="92"/>
      <c r="S132" s="92"/>
      <c r="T132" s="92"/>
      <c r="U132" s="92"/>
      <c r="V132" s="92"/>
      <c r="W132" s="92"/>
      <c r="X132" s="92"/>
      <c r="Y132" s="92"/>
      <c r="Z132" s="92"/>
      <c r="AA132" s="90"/>
    </row>
    <row r="133" spans="1:27" x14ac:dyDescent="0.35">
      <c r="A133" s="1"/>
      <c r="B133" s="91"/>
      <c r="C133" s="91"/>
      <c r="D133" s="91"/>
      <c r="E133" s="91"/>
      <c r="F133" s="91"/>
      <c r="G133" s="91"/>
      <c r="H133" s="91"/>
      <c r="I133" s="91"/>
      <c r="J133" s="91"/>
      <c r="K133" s="91"/>
      <c r="L133" s="91"/>
      <c r="M133" s="91"/>
      <c r="N133" s="91"/>
      <c r="O133" s="92"/>
      <c r="P133" s="92"/>
      <c r="Q133" s="92"/>
      <c r="R133" s="92"/>
      <c r="S133" s="92"/>
      <c r="T133" s="92"/>
      <c r="U133" s="92"/>
      <c r="V133" s="92"/>
      <c r="W133" s="92"/>
      <c r="X133" s="92"/>
      <c r="Y133" s="92"/>
      <c r="Z133" s="92"/>
      <c r="AA133" s="90"/>
    </row>
    <row r="134" spans="1:27" x14ac:dyDescent="0.35">
      <c r="A134" s="1"/>
      <c r="B134" s="91"/>
      <c r="C134" s="91"/>
      <c r="D134" s="91"/>
      <c r="E134" s="91"/>
      <c r="F134" s="91"/>
      <c r="G134" s="91"/>
      <c r="H134" s="91"/>
      <c r="I134" s="91"/>
      <c r="J134" s="91"/>
      <c r="K134" s="91"/>
      <c r="L134" s="91"/>
      <c r="M134" s="91"/>
      <c r="N134" s="91"/>
      <c r="O134" s="92"/>
      <c r="P134" s="92"/>
      <c r="Q134" s="92"/>
      <c r="R134" s="92"/>
      <c r="S134" s="92"/>
      <c r="T134" s="92"/>
      <c r="U134" s="92"/>
      <c r="V134" s="92"/>
      <c r="W134" s="92"/>
      <c r="X134" s="92"/>
      <c r="Y134" s="92"/>
      <c r="Z134" s="92"/>
      <c r="AA134" s="90"/>
    </row>
    <row r="135" spans="1:27" x14ac:dyDescent="0.35">
      <c r="A135" s="1"/>
      <c r="B135" s="91"/>
      <c r="C135" s="91"/>
      <c r="D135" s="91"/>
      <c r="E135" s="91"/>
      <c r="F135" s="91"/>
      <c r="G135" s="91"/>
      <c r="H135" s="91"/>
      <c r="I135" s="91"/>
      <c r="J135" s="91"/>
      <c r="K135" s="91"/>
      <c r="L135" s="91"/>
      <c r="M135" s="91"/>
      <c r="N135" s="91"/>
      <c r="O135" s="92"/>
      <c r="P135" s="92"/>
      <c r="Q135" s="92"/>
      <c r="R135" s="92"/>
      <c r="S135" s="92"/>
      <c r="T135" s="92"/>
      <c r="U135" s="92"/>
      <c r="V135" s="92"/>
      <c r="W135" s="92"/>
      <c r="X135" s="92"/>
      <c r="Y135" s="92"/>
      <c r="Z135" s="92"/>
      <c r="AA135" s="90"/>
    </row>
    <row r="136" spans="1:27" x14ac:dyDescent="0.35">
      <c r="A136" s="1"/>
      <c r="B136" s="91"/>
      <c r="C136" s="91"/>
      <c r="D136" s="91"/>
      <c r="E136" s="91"/>
      <c r="F136" s="91"/>
      <c r="G136" s="91"/>
      <c r="H136" s="91"/>
      <c r="I136" s="91"/>
      <c r="J136" s="91"/>
      <c r="K136" s="91"/>
      <c r="L136" s="91"/>
      <c r="M136" s="91"/>
      <c r="N136" s="91"/>
      <c r="O136" s="92"/>
      <c r="P136" s="92"/>
      <c r="Q136" s="92"/>
      <c r="R136" s="92"/>
      <c r="S136" s="92"/>
      <c r="T136" s="92"/>
      <c r="U136" s="92"/>
      <c r="V136" s="92"/>
      <c r="W136" s="92"/>
      <c r="X136" s="92"/>
      <c r="Y136" s="92"/>
      <c r="Z136" s="92"/>
      <c r="AA136" s="90"/>
    </row>
    <row r="137" spans="1:27" x14ac:dyDescent="0.35">
      <c r="A137" s="1"/>
      <c r="B137" s="91"/>
      <c r="C137" s="91"/>
      <c r="D137" s="91"/>
      <c r="E137" s="91"/>
      <c r="F137" s="91"/>
      <c r="G137" s="91"/>
      <c r="H137" s="91"/>
      <c r="I137" s="91"/>
      <c r="J137" s="91"/>
      <c r="K137" s="91"/>
      <c r="L137" s="91"/>
      <c r="M137" s="91"/>
      <c r="N137" s="91"/>
      <c r="O137" s="92"/>
      <c r="P137" s="92"/>
      <c r="Q137" s="92"/>
      <c r="R137" s="92"/>
      <c r="S137" s="92"/>
      <c r="T137" s="92"/>
      <c r="U137" s="92"/>
      <c r="V137" s="92"/>
      <c r="W137" s="92"/>
      <c r="X137" s="92"/>
      <c r="Y137" s="92"/>
      <c r="Z137" s="92"/>
      <c r="AA137" s="90"/>
    </row>
    <row r="138" spans="1:27" x14ac:dyDescent="0.35">
      <c r="A138" s="1"/>
      <c r="B138" s="91"/>
      <c r="C138" s="91"/>
      <c r="D138" s="91"/>
      <c r="E138" s="91"/>
      <c r="F138" s="91"/>
      <c r="G138" s="91"/>
      <c r="H138" s="91"/>
      <c r="I138" s="91"/>
      <c r="J138" s="91"/>
      <c r="K138" s="91"/>
      <c r="L138" s="91"/>
      <c r="M138" s="91"/>
      <c r="N138" s="91"/>
      <c r="O138" s="92"/>
      <c r="P138" s="92"/>
      <c r="Q138" s="92"/>
      <c r="R138" s="92"/>
      <c r="S138" s="92"/>
      <c r="T138" s="92"/>
      <c r="U138" s="92"/>
      <c r="V138" s="92"/>
      <c r="W138" s="92"/>
      <c r="X138" s="92"/>
      <c r="Y138" s="92"/>
      <c r="Z138" s="92"/>
      <c r="AA138" s="90"/>
    </row>
    <row r="139" spans="1:27" x14ac:dyDescent="0.35">
      <c r="A139" s="1"/>
      <c r="B139" s="91"/>
      <c r="C139" s="91"/>
      <c r="D139" s="91"/>
      <c r="E139" s="91"/>
      <c r="F139" s="91"/>
      <c r="G139" s="91"/>
      <c r="H139" s="91"/>
      <c r="I139" s="91"/>
      <c r="J139" s="91"/>
      <c r="K139" s="91"/>
      <c r="L139" s="91"/>
      <c r="M139" s="91"/>
      <c r="N139" s="91"/>
      <c r="O139" s="92"/>
      <c r="P139" s="92"/>
      <c r="Q139" s="92"/>
      <c r="R139" s="92"/>
      <c r="S139" s="92"/>
      <c r="T139" s="92"/>
      <c r="U139" s="92"/>
      <c r="V139" s="92"/>
      <c r="W139" s="92"/>
      <c r="X139" s="92"/>
      <c r="Y139" s="92"/>
      <c r="Z139" s="92"/>
      <c r="AA139" s="90"/>
    </row>
    <row r="140" spans="1:27" x14ac:dyDescent="0.35">
      <c r="A140" s="1"/>
      <c r="B140" s="91"/>
      <c r="C140" s="91"/>
      <c r="D140" s="91"/>
      <c r="E140" s="91"/>
      <c r="F140" s="91"/>
      <c r="G140" s="91"/>
      <c r="H140" s="91"/>
      <c r="I140" s="91"/>
      <c r="J140" s="91"/>
      <c r="K140" s="91"/>
      <c r="L140" s="91"/>
      <c r="M140" s="91"/>
      <c r="N140" s="91"/>
      <c r="O140" s="92"/>
      <c r="P140" s="92"/>
      <c r="Q140" s="92"/>
      <c r="R140" s="92"/>
      <c r="S140" s="92"/>
      <c r="T140" s="92"/>
      <c r="U140" s="92"/>
      <c r="V140" s="92"/>
      <c r="W140" s="92"/>
      <c r="X140" s="92"/>
      <c r="Y140" s="92"/>
      <c r="Z140" s="92"/>
      <c r="AA140" s="90"/>
    </row>
    <row r="141" spans="1:27" x14ac:dyDescent="0.35">
      <c r="A141" s="1"/>
      <c r="B141" s="91"/>
      <c r="C141" s="91"/>
      <c r="D141" s="91"/>
      <c r="E141" s="91"/>
      <c r="F141" s="91"/>
      <c r="G141" s="91"/>
      <c r="H141" s="91"/>
      <c r="I141" s="91"/>
      <c r="J141" s="91"/>
      <c r="K141" s="91"/>
      <c r="L141" s="91"/>
      <c r="M141" s="91"/>
      <c r="N141" s="91"/>
      <c r="O141" s="92"/>
      <c r="P141" s="92"/>
      <c r="Q141" s="92"/>
      <c r="R141" s="92"/>
      <c r="S141" s="92"/>
      <c r="T141" s="92"/>
      <c r="U141" s="92"/>
      <c r="V141" s="92"/>
      <c r="W141" s="92"/>
      <c r="X141" s="92"/>
      <c r="Y141" s="92"/>
      <c r="Z141" s="92"/>
      <c r="AA141" s="90"/>
    </row>
    <row r="142" spans="1:27" x14ac:dyDescent="0.35">
      <c r="A142" s="1"/>
      <c r="B142" s="91"/>
      <c r="C142" s="91"/>
      <c r="D142" s="91"/>
      <c r="E142" s="91"/>
      <c r="F142" s="91"/>
      <c r="G142" s="91"/>
      <c r="H142" s="91"/>
      <c r="I142" s="91"/>
      <c r="J142" s="91"/>
      <c r="K142" s="91"/>
      <c r="L142" s="91"/>
      <c r="M142" s="91"/>
      <c r="N142" s="91"/>
      <c r="O142" s="92"/>
      <c r="P142" s="92"/>
      <c r="Q142" s="92"/>
      <c r="R142" s="92"/>
      <c r="S142" s="92"/>
      <c r="T142" s="92"/>
      <c r="U142" s="92"/>
      <c r="V142" s="92"/>
      <c r="W142" s="92"/>
      <c r="X142" s="92"/>
      <c r="Y142" s="92"/>
      <c r="Z142" s="92"/>
      <c r="AA142" s="90"/>
    </row>
    <row r="143" spans="1:27" x14ac:dyDescent="0.35">
      <c r="A143" s="1"/>
      <c r="B143" s="91"/>
      <c r="C143" s="91"/>
      <c r="D143" s="91"/>
      <c r="E143" s="91"/>
      <c r="F143" s="91"/>
      <c r="G143" s="91"/>
      <c r="H143" s="91"/>
      <c r="I143" s="91"/>
      <c r="J143" s="91"/>
      <c r="K143" s="91"/>
      <c r="L143" s="91"/>
      <c r="M143" s="91"/>
      <c r="N143" s="91"/>
      <c r="O143" s="92"/>
      <c r="P143" s="92"/>
      <c r="Q143" s="92"/>
      <c r="R143" s="92"/>
      <c r="S143" s="92"/>
      <c r="T143" s="92"/>
      <c r="U143" s="92"/>
      <c r="V143" s="92"/>
      <c r="W143" s="92"/>
      <c r="X143" s="92"/>
      <c r="Y143" s="92"/>
      <c r="Z143" s="92"/>
      <c r="AA143" s="90"/>
    </row>
    <row r="144" spans="1:27" x14ac:dyDescent="0.35">
      <c r="A144" s="1"/>
      <c r="B144" s="91"/>
      <c r="C144" s="91"/>
      <c r="D144" s="91"/>
      <c r="E144" s="91"/>
      <c r="F144" s="91"/>
      <c r="G144" s="91"/>
      <c r="H144" s="91"/>
      <c r="I144" s="91"/>
      <c r="J144" s="91"/>
      <c r="K144" s="91"/>
      <c r="L144" s="91"/>
      <c r="M144" s="91"/>
      <c r="N144" s="91"/>
      <c r="O144" s="92"/>
      <c r="P144" s="92"/>
      <c r="Q144" s="92"/>
      <c r="R144" s="92"/>
      <c r="S144" s="92"/>
      <c r="T144" s="92"/>
      <c r="U144" s="92"/>
      <c r="V144" s="92"/>
      <c r="W144" s="92"/>
      <c r="X144" s="92"/>
      <c r="Y144" s="92"/>
      <c r="Z144" s="92"/>
      <c r="AA144" s="90"/>
    </row>
    <row r="145" spans="1:27" x14ac:dyDescent="0.35">
      <c r="A145" s="1"/>
      <c r="B145" s="91"/>
      <c r="C145" s="91"/>
      <c r="D145" s="91"/>
      <c r="E145" s="91"/>
      <c r="F145" s="91"/>
      <c r="G145" s="91"/>
      <c r="H145" s="91"/>
      <c r="I145" s="91"/>
      <c r="J145" s="91"/>
      <c r="K145" s="91"/>
      <c r="L145" s="91"/>
      <c r="M145" s="91"/>
      <c r="N145" s="91"/>
      <c r="O145" s="92"/>
      <c r="P145" s="92"/>
      <c r="Q145" s="92"/>
      <c r="R145" s="92"/>
      <c r="S145" s="92"/>
      <c r="T145" s="92"/>
      <c r="U145" s="92"/>
      <c r="V145" s="92"/>
      <c r="W145" s="92"/>
      <c r="X145" s="92"/>
      <c r="Y145" s="92"/>
      <c r="Z145" s="92"/>
      <c r="AA145" s="90"/>
    </row>
    <row r="146" spans="1:27" x14ac:dyDescent="0.35">
      <c r="A146" s="1"/>
      <c r="B146" s="91"/>
      <c r="C146" s="91"/>
      <c r="D146" s="91"/>
      <c r="E146" s="91"/>
      <c r="F146" s="91"/>
      <c r="G146" s="91"/>
      <c r="H146" s="91"/>
      <c r="I146" s="91"/>
      <c r="J146" s="91"/>
      <c r="K146" s="91"/>
      <c r="L146" s="91"/>
      <c r="M146" s="91"/>
      <c r="N146" s="91"/>
      <c r="O146" s="92"/>
      <c r="P146" s="92"/>
      <c r="Q146" s="92"/>
      <c r="R146" s="92"/>
      <c r="S146" s="92"/>
      <c r="T146" s="92"/>
      <c r="U146" s="92"/>
      <c r="V146" s="92"/>
      <c r="W146" s="92"/>
      <c r="X146" s="92"/>
      <c r="Y146" s="92"/>
      <c r="Z146" s="92"/>
      <c r="AA146" s="90"/>
    </row>
    <row r="147" spans="1:27" x14ac:dyDescent="0.35">
      <c r="A147" s="1"/>
      <c r="B147" s="91"/>
      <c r="C147" s="91"/>
      <c r="D147" s="91"/>
      <c r="E147" s="91"/>
      <c r="F147" s="91"/>
      <c r="G147" s="91"/>
      <c r="H147" s="91"/>
      <c r="I147" s="91"/>
      <c r="J147" s="91"/>
      <c r="K147" s="91"/>
      <c r="L147" s="91"/>
      <c r="M147" s="91"/>
      <c r="N147" s="91"/>
      <c r="O147" s="92"/>
      <c r="P147" s="92"/>
      <c r="Q147" s="92"/>
      <c r="R147" s="92"/>
      <c r="S147" s="92"/>
      <c r="T147" s="92"/>
      <c r="U147" s="92"/>
      <c r="V147" s="92"/>
      <c r="W147" s="92"/>
      <c r="X147" s="92"/>
      <c r="Y147" s="92"/>
      <c r="Z147" s="92"/>
      <c r="AA147" s="90"/>
    </row>
    <row r="148" spans="1:27" x14ac:dyDescent="0.35">
      <c r="A148" s="1"/>
      <c r="B148" s="91"/>
      <c r="C148" s="91"/>
      <c r="D148" s="91"/>
      <c r="E148" s="91"/>
      <c r="F148" s="91"/>
      <c r="G148" s="91"/>
      <c r="H148" s="91"/>
      <c r="I148" s="91"/>
      <c r="J148" s="91"/>
      <c r="K148" s="91"/>
      <c r="L148" s="91"/>
      <c r="M148" s="91"/>
      <c r="N148" s="91"/>
      <c r="O148" s="92"/>
      <c r="P148" s="92"/>
      <c r="Q148" s="92"/>
      <c r="R148" s="92"/>
      <c r="S148" s="92"/>
      <c r="T148" s="92"/>
      <c r="U148" s="92"/>
      <c r="V148" s="92"/>
      <c r="W148" s="92"/>
      <c r="X148" s="92"/>
      <c r="Y148" s="92"/>
      <c r="Z148" s="92"/>
      <c r="AA148" s="90"/>
    </row>
    <row r="149" spans="1:27" x14ac:dyDescent="0.35">
      <c r="A149" s="1"/>
      <c r="B149" s="91"/>
      <c r="C149" s="91"/>
      <c r="D149" s="91"/>
      <c r="E149" s="91"/>
      <c r="F149" s="91"/>
      <c r="G149" s="91"/>
      <c r="H149" s="91"/>
      <c r="I149" s="91"/>
      <c r="J149" s="91"/>
      <c r="K149" s="91"/>
      <c r="L149" s="91"/>
      <c r="M149" s="91"/>
      <c r="N149" s="91"/>
      <c r="O149" s="92"/>
      <c r="P149" s="92"/>
      <c r="Q149" s="92"/>
      <c r="R149" s="92"/>
      <c r="S149" s="92"/>
      <c r="T149" s="92"/>
      <c r="U149" s="92"/>
      <c r="V149" s="92"/>
      <c r="W149" s="92"/>
      <c r="X149" s="92"/>
      <c r="Y149" s="92"/>
      <c r="Z149" s="92"/>
      <c r="AA149" s="90"/>
    </row>
    <row r="150" spans="1:27" x14ac:dyDescent="0.35">
      <c r="A150" s="1"/>
      <c r="B150" s="91"/>
      <c r="C150" s="91"/>
      <c r="D150" s="91"/>
      <c r="E150" s="91"/>
      <c r="F150" s="91"/>
      <c r="G150" s="91"/>
      <c r="H150" s="91"/>
      <c r="I150" s="91"/>
      <c r="J150" s="91"/>
      <c r="K150" s="91"/>
      <c r="L150" s="91"/>
      <c r="M150" s="91"/>
      <c r="N150" s="91"/>
      <c r="O150" s="92"/>
      <c r="P150" s="92"/>
      <c r="Q150" s="92"/>
      <c r="R150" s="92"/>
      <c r="S150" s="92"/>
      <c r="T150" s="92"/>
      <c r="U150" s="92"/>
      <c r="V150" s="92"/>
      <c r="W150" s="92"/>
      <c r="X150" s="92"/>
      <c r="Y150" s="92"/>
      <c r="Z150" s="92"/>
      <c r="AA150" s="90"/>
    </row>
    <row r="151" spans="1:27" x14ac:dyDescent="0.35">
      <c r="A151" s="1"/>
      <c r="B151" s="91"/>
      <c r="C151" s="91"/>
      <c r="D151" s="91"/>
      <c r="E151" s="91"/>
      <c r="F151" s="91"/>
      <c r="G151" s="91"/>
      <c r="H151" s="91"/>
      <c r="I151" s="91"/>
      <c r="J151" s="91"/>
      <c r="K151" s="91"/>
      <c r="L151" s="91"/>
      <c r="M151" s="91"/>
      <c r="N151" s="91"/>
      <c r="O151" s="92"/>
      <c r="P151" s="92"/>
      <c r="Q151" s="92"/>
      <c r="R151" s="92"/>
      <c r="S151" s="92"/>
      <c r="T151" s="92"/>
      <c r="U151" s="92"/>
      <c r="V151" s="92"/>
      <c r="W151" s="92"/>
      <c r="X151" s="92"/>
      <c r="Y151" s="92"/>
      <c r="Z151" s="92"/>
      <c r="AA151" s="90"/>
    </row>
    <row r="152" spans="1:27" x14ac:dyDescent="0.35">
      <c r="A152" s="1"/>
      <c r="B152" s="91"/>
      <c r="C152" s="91"/>
      <c r="D152" s="91"/>
      <c r="E152" s="91"/>
      <c r="F152" s="91"/>
      <c r="G152" s="91"/>
      <c r="H152" s="91"/>
      <c r="I152" s="91"/>
      <c r="J152" s="91"/>
      <c r="K152" s="91"/>
      <c r="L152" s="91"/>
      <c r="M152" s="91"/>
      <c r="N152" s="91"/>
      <c r="O152" s="92"/>
      <c r="P152" s="92"/>
      <c r="Q152" s="92"/>
      <c r="R152" s="92"/>
      <c r="S152" s="92"/>
      <c r="T152" s="92"/>
      <c r="U152" s="92"/>
      <c r="V152" s="92"/>
      <c r="W152" s="92"/>
      <c r="X152" s="92"/>
      <c r="Y152" s="92"/>
      <c r="Z152" s="92"/>
      <c r="AA152" s="90"/>
    </row>
    <row r="153" spans="1:27" x14ac:dyDescent="0.35">
      <c r="A153" s="1"/>
      <c r="B153" s="91"/>
      <c r="C153" s="91"/>
      <c r="D153" s="91"/>
      <c r="E153" s="91"/>
      <c r="F153" s="91"/>
      <c r="G153" s="91"/>
      <c r="H153" s="91"/>
      <c r="I153" s="91"/>
      <c r="J153" s="91"/>
      <c r="K153" s="91"/>
      <c r="L153" s="91"/>
      <c r="M153" s="91"/>
      <c r="N153" s="91"/>
      <c r="O153" s="92"/>
      <c r="P153" s="92"/>
      <c r="Q153" s="92"/>
      <c r="R153" s="92"/>
      <c r="S153" s="92"/>
      <c r="T153" s="92"/>
      <c r="U153" s="92"/>
      <c r="V153" s="92"/>
      <c r="W153" s="92"/>
      <c r="X153" s="92"/>
      <c r="Y153" s="92"/>
      <c r="Z153" s="92"/>
      <c r="AA153" s="90"/>
    </row>
    <row r="154" spans="1:27" x14ac:dyDescent="0.35">
      <c r="A154" s="1"/>
      <c r="B154" s="91"/>
      <c r="C154" s="91"/>
      <c r="D154" s="91"/>
      <c r="E154" s="91"/>
      <c r="F154" s="91"/>
      <c r="G154" s="91"/>
      <c r="H154" s="91"/>
      <c r="I154" s="91"/>
      <c r="J154" s="91"/>
      <c r="K154" s="91"/>
      <c r="L154" s="91"/>
      <c r="M154" s="91"/>
      <c r="N154" s="91"/>
      <c r="O154" s="92"/>
      <c r="P154" s="92"/>
      <c r="Q154" s="92"/>
      <c r="R154" s="92"/>
      <c r="S154" s="92"/>
      <c r="T154" s="92"/>
      <c r="U154" s="92"/>
      <c r="V154" s="92"/>
      <c r="W154" s="92"/>
      <c r="X154" s="92"/>
      <c r="Y154" s="92"/>
      <c r="Z154" s="92"/>
      <c r="AA154" s="90"/>
    </row>
    <row r="155" spans="1:27" x14ac:dyDescent="0.35">
      <c r="A155" s="1"/>
      <c r="B155" s="91"/>
      <c r="C155" s="91"/>
      <c r="D155" s="91"/>
      <c r="E155" s="91"/>
      <c r="F155" s="91"/>
      <c r="G155" s="91"/>
      <c r="H155" s="91"/>
      <c r="I155" s="91"/>
      <c r="J155" s="91"/>
      <c r="K155" s="91"/>
      <c r="L155" s="91"/>
      <c r="M155" s="91"/>
      <c r="N155" s="91"/>
      <c r="O155" s="92"/>
      <c r="P155" s="92"/>
      <c r="Q155" s="92"/>
      <c r="R155" s="92"/>
      <c r="S155" s="92"/>
      <c r="T155" s="92"/>
      <c r="U155" s="92"/>
      <c r="V155" s="92"/>
      <c r="W155" s="92"/>
      <c r="X155" s="92"/>
      <c r="Y155" s="92"/>
      <c r="Z155" s="92"/>
      <c r="AA155" s="90"/>
    </row>
    <row r="156" spans="1:27" x14ac:dyDescent="0.35">
      <c r="A156" s="1"/>
      <c r="B156" s="91"/>
      <c r="C156" s="91"/>
      <c r="D156" s="91"/>
      <c r="E156" s="91"/>
      <c r="F156" s="91"/>
      <c r="G156" s="91"/>
      <c r="H156" s="91"/>
      <c r="I156" s="91"/>
      <c r="J156" s="91"/>
      <c r="K156" s="91"/>
      <c r="L156" s="91"/>
      <c r="M156" s="91"/>
      <c r="N156" s="91"/>
      <c r="O156" s="92"/>
      <c r="P156" s="92"/>
      <c r="Q156" s="92"/>
      <c r="R156" s="92"/>
      <c r="S156" s="92"/>
      <c r="T156" s="92"/>
      <c r="U156" s="92"/>
      <c r="V156" s="92"/>
      <c r="W156" s="92"/>
      <c r="X156" s="92"/>
      <c r="Y156" s="92"/>
      <c r="Z156" s="92"/>
      <c r="AA156" s="90"/>
    </row>
    <row r="157" spans="1:27" x14ac:dyDescent="0.35">
      <c r="A157" s="1"/>
      <c r="B157" s="91"/>
      <c r="C157" s="91"/>
      <c r="D157" s="91"/>
      <c r="E157" s="91"/>
      <c r="F157" s="91"/>
      <c r="G157" s="91"/>
      <c r="H157" s="91"/>
      <c r="I157" s="91"/>
      <c r="J157" s="91"/>
      <c r="K157" s="91"/>
      <c r="L157" s="91"/>
      <c r="M157" s="91"/>
      <c r="N157" s="91"/>
      <c r="O157" s="92"/>
      <c r="P157" s="92"/>
      <c r="Q157" s="92"/>
      <c r="R157" s="92"/>
      <c r="S157" s="92"/>
      <c r="T157" s="92"/>
      <c r="U157" s="92"/>
      <c r="V157" s="92"/>
      <c r="W157" s="92"/>
      <c r="X157" s="92"/>
      <c r="Y157" s="92"/>
      <c r="Z157" s="92"/>
      <c r="AA157" s="90"/>
    </row>
    <row r="158" spans="1:27" x14ac:dyDescent="0.35">
      <c r="A158" s="1"/>
      <c r="B158" s="91"/>
      <c r="C158" s="91"/>
      <c r="D158" s="91"/>
      <c r="E158" s="91"/>
      <c r="F158" s="91"/>
      <c r="G158" s="91"/>
      <c r="H158" s="91"/>
      <c r="I158" s="91"/>
      <c r="J158" s="91"/>
      <c r="K158" s="91"/>
      <c r="L158" s="91"/>
      <c r="M158" s="91"/>
      <c r="N158" s="91"/>
      <c r="O158" s="92"/>
      <c r="P158" s="92"/>
      <c r="Q158" s="92"/>
      <c r="R158" s="92"/>
      <c r="S158" s="92"/>
      <c r="T158" s="92"/>
      <c r="U158" s="92"/>
      <c r="V158" s="92"/>
      <c r="W158" s="92"/>
      <c r="X158" s="92"/>
      <c r="Y158" s="92"/>
      <c r="Z158" s="92"/>
      <c r="AA158" s="90"/>
    </row>
    <row r="159" spans="1:27" x14ac:dyDescent="0.35">
      <c r="A159" s="1"/>
      <c r="B159" s="91"/>
      <c r="C159" s="91"/>
      <c r="D159" s="91"/>
      <c r="E159" s="91"/>
      <c r="F159" s="91"/>
      <c r="G159" s="91"/>
      <c r="H159" s="91"/>
      <c r="I159" s="91"/>
      <c r="J159" s="91"/>
      <c r="K159" s="91"/>
      <c r="L159" s="91"/>
      <c r="M159" s="91"/>
      <c r="N159" s="91"/>
      <c r="O159" s="92"/>
      <c r="P159" s="92"/>
      <c r="Q159" s="92"/>
      <c r="R159" s="92"/>
      <c r="S159" s="92"/>
      <c r="T159" s="92"/>
      <c r="U159" s="92"/>
      <c r="V159" s="92"/>
      <c r="W159" s="92"/>
      <c r="X159" s="92"/>
      <c r="Y159" s="92"/>
      <c r="Z159" s="92"/>
      <c r="AA159" s="90"/>
    </row>
    <row r="160" spans="1:27" x14ac:dyDescent="0.35">
      <c r="A160" s="1"/>
      <c r="B160" s="91"/>
      <c r="C160" s="91"/>
      <c r="D160" s="91"/>
      <c r="E160" s="91"/>
      <c r="F160" s="91"/>
      <c r="G160" s="91"/>
      <c r="H160" s="91"/>
      <c r="I160" s="91"/>
      <c r="J160" s="91"/>
      <c r="K160" s="91"/>
      <c r="L160" s="91"/>
      <c r="M160" s="91"/>
      <c r="N160" s="91"/>
      <c r="O160" s="92"/>
      <c r="P160" s="92"/>
      <c r="Q160" s="92"/>
      <c r="R160" s="92"/>
      <c r="S160" s="92"/>
      <c r="T160" s="92"/>
      <c r="U160" s="92"/>
      <c r="V160" s="92"/>
      <c r="W160" s="92"/>
      <c r="X160" s="92"/>
      <c r="Y160" s="92"/>
      <c r="Z160" s="92"/>
      <c r="AA160" s="90"/>
    </row>
    <row r="161" spans="1:27" x14ac:dyDescent="0.35">
      <c r="A161" s="1"/>
      <c r="B161" s="91"/>
      <c r="C161" s="91"/>
      <c r="D161" s="91"/>
      <c r="E161" s="91"/>
      <c r="F161" s="91"/>
      <c r="G161" s="91"/>
      <c r="H161" s="91"/>
      <c r="I161" s="91"/>
      <c r="J161" s="91"/>
      <c r="K161" s="91"/>
      <c r="L161" s="91"/>
      <c r="M161" s="91"/>
      <c r="N161" s="91"/>
      <c r="O161" s="92"/>
      <c r="P161" s="92"/>
      <c r="Q161" s="92"/>
      <c r="R161" s="92"/>
      <c r="S161" s="92"/>
      <c r="T161" s="92"/>
      <c r="U161" s="92"/>
      <c r="V161" s="92"/>
      <c r="W161" s="92"/>
      <c r="X161" s="92"/>
      <c r="Y161" s="92"/>
      <c r="Z161" s="92"/>
      <c r="AA161" s="90"/>
    </row>
    <row r="162" spans="1:27" x14ac:dyDescent="0.35">
      <c r="A162" s="1"/>
      <c r="B162" s="91"/>
      <c r="C162" s="91"/>
      <c r="D162" s="91"/>
      <c r="E162" s="91"/>
      <c r="F162" s="91"/>
      <c r="G162" s="91"/>
      <c r="H162" s="91"/>
      <c r="I162" s="91"/>
      <c r="J162" s="91"/>
      <c r="K162" s="91"/>
      <c r="L162" s="91"/>
      <c r="M162" s="91"/>
      <c r="N162" s="91"/>
      <c r="O162" s="92"/>
      <c r="P162" s="92"/>
      <c r="Q162" s="92"/>
      <c r="R162" s="92"/>
      <c r="S162" s="92"/>
      <c r="T162" s="92"/>
      <c r="U162" s="92"/>
      <c r="V162" s="92"/>
      <c r="W162" s="92"/>
      <c r="X162" s="92"/>
      <c r="Y162" s="92"/>
      <c r="Z162" s="92"/>
      <c r="AA162" s="90"/>
    </row>
    <row r="163" spans="1:27" x14ac:dyDescent="0.35">
      <c r="A163" s="1"/>
      <c r="B163" s="91"/>
      <c r="C163" s="91"/>
      <c r="D163" s="91"/>
      <c r="E163" s="91"/>
      <c r="F163" s="91"/>
      <c r="G163" s="91"/>
      <c r="H163" s="91"/>
      <c r="I163" s="91"/>
      <c r="J163" s="91"/>
      <c r="K163" s="91"/>
      <c r="L163" s="91"/>
      <c r="M163" s="91"/>
      <c r="N163" s="91"/>
      <c r="O163" s="92"/>
      <c r="P163" s="92"/>
      <c r="Q163" s="92"/>
      <c r="R163" s="92"/>
      <c r="S163" s="92"/>
      <c r="T163" s="92"/>
      <c r="U163" s="92"/>
      <c r="V163" s="92"/>
      <c r="W163" s="92"/>
      <c r="X163" s="92"/>
      <c r="Y163" s="92"/>
      <c r="Z163" s="92"/>
      <c r="AA163" s="90"/>
    </row>
    <row r="164" spans="1:27" x14ac:dyDescent="0.35">
      <c r="A164" s="1"/>
      <c r="B164" s="91"/>
      <c r="C164" s="91"/>
      <c r="D164" s="91"/>
      <c r="E164" s="91"/>
      <c r="F164" s="91"/>
      <c r="G164" s="91"/>
      <c r="H164" s="91"/>
      <c r="I164" s="91"/>
      <c r="J164" s="91"/>
      <c r="K164" s="91"/>
      <c r="L164" s="91"/>
      <c r="M164" s="91"/>
      <c r="N164" s="91"/>
      <c r="O164" s="92"/>
      <c r="P164" s="92"/>
      <c r="Q164" s="92"/>
      <c r="R164" s="92"/>
      <c r="S164" s="92"/>
      <c r="T164" s="92"/>
      <c r="U164" s="92"/>
      <c r="V164" s="92"/>
      <c r="W164" s="92"/>
      <c r="X164" s="92"/>
      <c r="Y164" s="92"/>
      <c r="Z164" s="92"/>
      <c r="AA164" s="90"/>
    </row>
    <row r="165" spans="1:27" x14ac:dyDescent="0.35">
      <c r="A165" s="1"/>
      <c r="B165" s="91"/>
      <c r="C165" s="91"/>
      <c r="D165" s="91"/>
      <c r="E165" s="91"/>
      <c r="F165" s="91"/>
      <c r="G165" s="91"/>
      <c r="H165" s="91"/>
      <c r="I165" s="91"/>
      <c r="J165" s="91"/>
      <c r="K165" s="91"/>
      <c r="L165" s="91"/>
      <c r="M165" s="91"/>
      <c r="N165" s="91"/>
      <c r="O165" s="92"/>
      <c r="P165" s="92"/>
      <c r="Q165" s="92"/>
      <c r="R165" s="92"/>
      <c r="S165" s="92"/>
      <c r="T165" s="92"/>
      <c r="U165" s="92"/>
      <c r="V165" s="92"/>
      <c r="W165" s="92"/>
      <c r="X165" s="92"/>
      <c r="Y165" s="92"/>
      <c r="Z165" s="92"/>
      <c r="AA165" s="90"/>
    </row>
    <row r="166" spans="1:27" x14ac:dyDescent="0.35">
      <c r="A166" s="1"/>
      <c r="B166" s="91"/>
      <c r="C166" s="91"/>
      <c r="D166" s="91"/>
      <c r="E166" s="91"/>
      <c r="F166" s="91"/>
      <c r="G166" s="91"/>
      <c r="H166" s="91"/>
      <c r="I166" s="91"/>
      <c r="J166" s="91"/>
      <c r="K166" s="91"/>
      <c r="L166" s="91"/>
      <c r="M166" s="91"/>
      <c r="N166" s="91"/>
      <c r="O166" s="92"/>
      <c r="P166" s="92"/>
      <c r="Q166" s="92"/>
      <c r="R166" s="92"/>
      <c r="S166" s="92"/>
      <c r="T166" s="92"/>
      <c r="U166" s="92"/>
      <c r="V166" s="92"/>
      <c r="W166" s="92"/>
      <c r="X166" s="92"/>
      <c r="Y166" s="92"/>
      <c r="Z166" s="92"/>
      <c r="AA166" s="90"/>
    </row>
    <row r="167" spans="1:27" x14ac:dyDescent="0.35">
      <c r="A167" s="1"/>
      <c r="B167" s="91"/>
      <c r="C167" s="91"/>
      <c r="D167" s="91"/>
      <c r="E167" s="91"/>
      <c r="F167" s="91"/>
      <c r="G167" s="91"/>
      <c r="H167" s="91"/>
      <c r="I167" s="91"/>
      <c r="J167" s="91"/>
      <c r="K167" s="91"/>
      <c r="L167" s="91"/>
      <c r="M167" s="91"/>
      <c r="N167" s="91"/>
      <c r="O167" s="92"/>
      <c r="P167" s="92"/>
      <c r="Q167" s="92"/>
      <c r="R167" s="92"/>
      <c r="S167" s="92"/>
      <c r="T167" s="92"/>
      <c r="U167" s="92"/>
      <c r="V167" s="92"/>
      <c r="W167" s="92"/>
      <c r="X167" s="92"/>
      <c r="Y167" s="92"/>
      <c r="Z167" s="92"/>
      <c r="AA167" s="90"/>
    </row>
    <row r="168" spans="1:27" x14ac:dyDescent="0.35">
      <c r="A168" s="1"/>
      <c r="B168" s="91"/>
      <c r="C168" s="91"/>
      <c r="D168" s="91"/>
      <c r="E168" s="91"/>
      <c r="F168" s="91"/>
      <c r="G168" s="91"/>
      <c r="H168" s="91"/>
      <c r="I168" s="91"/>
      <c r="J168" s="91"/>
      <c r="K168" s="91"/>
      <c r="L168" s="91"/>
      <c r="M168" s="91"/>
      <c r="N168" s="91"/>
      <c r="O168" s="92"/>
      <c r="P168" s="92"/>
      <c r="Q168" s="92"/>
      <c r="R168" s="92"/>
      <c r="S168" s="92"/>
      <c r="T168" s="92"/>
      <c r="U168" s="92"/>
      <c r="V168" s="92"/>
      <c r="W168" s="92"/>
      <c r="X168" s="92"/>
      <c r="Y168" s="92"/>
      <c r="Z168" s="92"/>
      <c r="AA168" s="90"/>
    </row>
    <row r="169" spans="1:27" x14ac:dyDescent="0.35">
      <c r="A169" s="1"/>
      <c r="B169" s="91"/>
      <c r="C169" s="91"/>
      <c r="D169" s="91"/>
      <c r="E169" s="91"/>
      <c r="F169" s="91"/>
      <c r="G169" s="91"/>
      <c r="H169" s="91"/>
      <c r="I169" s="91"/>
      <c r="J169" s="91"/>
      <c r="K169" s="91"/>
      <c r="L169" s="91"/>
      <c r="M169" s="91"/>
      <c r="N169" s="91"/>
      <c r="O169" s="92"/>
      <c r="P169" s="92"/>
      <c r="Q169" s="92"/>
      <c r="R169" s="92"/>
      <c r="S169" s="92"/>
      <c r="T169" s="92"/>
      <c r="U169" s="92"/>
      <c r="V169" s="92"/>
      <c r="W169" s="92"/>
      <c r="X169" s="92"/>
      <c r="Y169" s="92"/>
      <c r="Z169" s="92"/>
      <c r="AA169" s="90"/>
    </row>
    <row r="170" spans="1:27" x14ac:dyDescent="0.35">
      <c r="A170" s="1"/>
      <c r="B170" s="91"/>
      <c r="C170" s="91"/>
      <c r="D170" s="91"/>
      <c r="E170" s="91"/>
      <c r="F170" s="91"/>
      <c r="G170" s="91"/>
      <c r="H170" s="91"/>
      <c r="I170" s="91"/>
      <c r="J170" s="91"/>
      <c r="K170" s="91"/>
      <c r="L170" s="91"/>
      <c r="M170" s="91"/>
      <c r="N170" s="91"/>
      <c r="O170" s="92"/>
      <c r="P170" s="92"/>
      <c r="Q170" s="92"/>
      <c r="R170" s="92"/>
      <c r="S170" s="92"/>
      <c r="T170" s="92"/>
      <c r="U170" s="92"/>
      <c r="V170" s="92"/>
      <c r="W170" s="92"/>
      <c r="X170" s="92"/>
      <c r="Y170" s="92"/>
      <c r="Z170" s="92"/>
      <c r="AA170" s="90"/>
    </row>
    <row r="171" spans="1:27" x14ac:dyDescent="0.35">
      <c r="A171" s="1"/>
      <c r="B171" s="91"/>
      <c r="C171" s="91"/>
      <c r="D171" s="91"/>
      <c r="E171" s="91"/>
      <c r="F171" s="91"/>
      <c r="G171" s="91"/>
      <c r="H171" s="91"/>
      <c r="I171" s="91"/>
      <c r="J171" s="91"/>
      <c r="K171" s="91"/>
      <c r="L171" s="91"/>
      <c r="M171" s="91"/>
      <c r="N171" s="91"/>
      <c r="O171" s="92"/>
      <c r="P171" s="92"/>
      <c r="Q171" s="92"/>
      <c r="R171" s="92"/>
      <c r="S171" s="92"/>
      <c r="T171" s="92"/>
      <c r="U171" s="92"/>
      <c r="V171" s="92"/>
      <c r="W171" s="92"/>
      <c r="X171" s="92"/>
      <c r="Y171" s="92"/>
      <c r="Z171" s="92"/>
      <c r="AA171" s="90"/>
    </row>
    <row r="172" spans="1:27" x14ac:dyDescent="0.35">
      <c r="A172" s="1"/>
      <c r="B172" s="91"/>
      <c r="C172" s="91"/>
      <c r="D172" s="91"/>
      <c r="E172" s="91"/>
      <c r="F172" s="91"/>
      <c r="G172" s="91"/>
      <c r="H172" s="91"/>
      <c r="I172" s="91"/>
      <c r="J172" s="91"/>
      <c r="K172" s="91"/>
      <c r="L172" s="91"/>
      <c r="M172" s="91"/>
      <c r="N172" s="91"/>
      <c r="O172" s="92"/>
      <c r="P172" s="92"/>
      <c r="Q172" s="92"/>
      <c r="R172" s="92"/>
      <c r="S172" s="92"/>
      <c r="T172" s="92"/>
      <c r="U172" s="92"/>
      <c r="V172" s="92"/>
      <c r="W172" s="92"/>
      <c r="X172" s="92"/>
      <c r="Y172" s="92"/>
      <c r="Z172" s="92"/>
      <c r="AA172" s="90"/>
    </row>
    <row r="173" spans="1:27" x14ac:dyDescent="0.35">
      <c r="A173" s="1"/>
      <c r="B173" s="91"/>
      <c r="C173" s="91"/>
      <c r="D173" s="91"/>
      <c r="E173" s="91"/>
      <c r="F173" s="91"/>
      <c r="G173" s="91"/>
      <c r="H173" s="91"/>
      <c r="I173" s="91"/>
      <c r="J173" s="91"/>
      <c r="K173" s="91"/>
      <c r="L173" s="91"/>
      <c r="M173" s="91"/>
      <c r="N173" s="91"/>
      <c r="O173" s="92"/>
      <c r="P173" s="92"/>
      <c r="Q173" s="92"/>
      <c r="R173" s="92"/>
      <c r="S173" s="92"/>
      <c r="T173" s="92"/>
      <c r="U173" s="92"/>
      <c r="V173" s="92"/>
      <c r="W173" s="92"/>
      <c r="X173" s="92"/>
      <c r="Y173" s="92"/>
      <c r="Z173" s="92"/>
      <c r="AA173" s="90"/>
    </row>
    <row r="174" spans="1:27" x14ac:dyDescent="0.35">
      <c r="A174" s="1"/>
      <c r="B174" s="91"/>
      <c r="C174" s="91"/>
      <c r="D174" s="91"/>
      <c r="E174" s="91"/>
      <c r="F174" s="91"/>
      <c r="G174" s="91"/>
      <c r="H174" s="91"/>
      <c r="I174" s="91"/>
      <c r="J174" s="91"/>
      <c r="K174" s="91"/>
      <c r="L174" s="91"/>
      <c r="M174" s="91"/>
      <c r="N174" s="91"/>
      <c r="O174" s="92"/>
      <c r="P174" s="92"/>
      <c r="Q174" s="92"/>
      <c r="R174" s="92"/>
      <c r="S174" s="92"/>
      <c r="T174" s="92"/>
      <c r="U174" s="92"/>
      <c r="V174" s="92"/>
      <c r="W174" s="92"/>
      <c r="X174" s="92"/>
      <c r="Y174" s="92"/>
      <c r="Z174" s="92"/>
      <c r="AA174" s="90"/>
    </row>
    <row r="175" spans="1:27" x14ac:dyDescent="0.35">
      <c r="A175" s="1"/>
      <c r="B175" s="91"/>
      <c r="C175" s="91"/>
      <c r="D175" s="91"/>
      <c r="E175" s="91"/>
      <c r="F175" s="91"/>
      <c r="G175" s="91"/>
      <c r="H175" s="91"/>
      <c r="I175" s="91"/>
      <c r="J175" s="91"/>
      <c r="K175" s="91"/>
      <c r="L175" s="91"/>
      <c r="M175" s="91"/>
      <c r="N175" s="91"/>
      <c r="O175" s="92"/>
      <c r="P175" s="92"/>
      <c r="Q175" s="92"/>
      <c r="R175" s="92"/>
      <c r="S175" s="92"/>
      <c r="T175" s="92"/>
      <c r="U175" s="92"/>
      <c r="V175" s="92"/>
      <c r="W175" s="92"/>
      <c r="X175" s="92"/>
      <c r="Y175" s="92"/>
      <c r="Z175" s="92"/>
      <c r="AA175" s="90"/>
    </row>
    <row r="176" spans="1:27" x14ac:dyDescent="0.35">
      <c r="A176" s="1"/>
      <c r="B176" s="91"/>
      <c r="C176" s="91"/>
      <c r="D176" s="91"/>
      <c r="E176" s="91"/>
      <c r="F176" s="91"/>
      <c r="G176" s="91"/>
      <c r="H176" s="91"/>
      <c r="I176" s="91"/>
      <c r="J176" s="91"/>
      <c r="K176" s="91"/>
      <c r="L176" s="91"/>
      <c r="M176" s="91"/>
      <c r="N176" s="91"/>
      <c r="O176" s="92"/>
      <c r="P176" s="92"/>
      <c r="Q176" s="92"/>
      <c r="R176" s="92"/>
      <c r="S176" s="92"/>
      <c r="T176" s="92"/>
      <c r="U176" s="92"/>
      <c r="V176" s="92"/>
      <c r="W176" s="92"/>
      <c r="X176" s="92"/>
      <c r="Y176" s="92"/>
      <c r="Z176" s="92"/>
      <c r="AA176" s="90"/>
    </row>
    <row r="177" spans="1:27" x14ac:dyDescent="0.35">
      <c r="A177" s="1"/>
      <c r="B177" s="91"/>
      <c r="C177" s="91"/>
      <c r="D177" s="91"/>
      <c r="E177" s="91"/>
      <c r="F177" s="91"/>
      <c r="G177" s="91"/>
      <c r="H177" s="91"/>
      <c r="I177" s="91"/>
      <c r="J177" s="91"/>
      <c r="K177" s="91"/>
      <c r="L177" s="91"/>
      <c r="M177" s="91"/>
      <c r="N177" s="91"/>
      <c r="O177" s="92"/>
      <c r="P177" s="92"/>
      <c r="Q177" s="92"/>
      <c r="R177" s="92"/>
      <c r="S177" s="92"/>
      <c r="T177" s="92"/>
      <c r="U177" s="92"/>
      <c r="V177" s="92"/>
      <c r="W177" s="92"/>
      <c r="X177" s="92"/>
      <c r="Y177" s="92"/>
      <c r="Z177" s="92"/>
      <c r="AA177" s="90"/>
    </row>
    <row r="178" spans="1:27" x14ac:dyDescent="0.35">
      <c r="A178" s="1"/>
      <c r="B178" s="91"/>
      <c r="C178" s="91"/>
      <c r="D178" s="91"/>
      <c r="E178" s="91"/>
      <c r="F178" s="91"/>
      <c r="G178" s="91"/>
      <c r="H178" s="91"/>
      <c r="I178" s="91"/>
      <c r="J178" s="91"/>
      <c r="K178" s="91"/>
      <c r="L178" s="91"/>
      <c r="M178" s="91"/>
      <c r="N178" s="91"/>
      <c r="O178" s="92"/>
      <c r="P178" s="92"/>
      <c r="Q178" s="92"/>
      <c r="R178" s="92"/>
      <c r="S178" s="92"/>
      <c r="T178" s="92"/>
      <c r="U178" s="92"/>
      <c r="V178" s="92"/>
      <c r="W178" s="92"/>
      <c r="X178" s="92"/>
      <c r="Y178" s="92"/>
      <c r="Z178" s="92"/>
      <c r="AA178" s="90"/>
    </row>
    <row r="179" spans="1:27" x14ac:dyDescent="0.35">
      <c r="A179" s="1"/>
      <c r="B179" s="91"/>
      <c r="C179" s="91"/>
      <c r="D179" s="91"/>
      <c r="E179" s="91"/>
      <c r="F179" s="91"/>
      <c r="G179" s="91"/>
      <c r="H179" s="91"/>
      <c r="I179" s="91"/>
      <c r="J179" s="91"/>
      <c r="K179" s="91"/>
      <c r="L179" s="91"/>
      <c r="M179" s="91"/>
      <c r="N179" s="91"/>
      <c r="O179" s="92"/>
      <c r="P179" s="92"/>
      <c r="Q179" s="92"/>
      <c r="R179" s="92"/>
      <c r="S179" s="92"/>
      <c r="T179" s="92"/>
      <c r="U179" s="92"/>
      <c r="V179" s="92"/>
      <c r="W179" s="92"/>
      <c r="X179" s="92"/>
      <c r="Y179" s="92"/>
      <c r="Z179" s="92"/>
      <c r="AA179" s="90"/>
    </row>
    <row r="180" spans="1:27" x14ac:dyDescent="0.35">
      <c r="A180" s="1"/>
      <c r="B180" s="91"/>
      <c r="C180" s="91"/>
      <c r="D180" s="91"/>
      <c r="E180" s="91"/>
      <c r="F180" s="91"/>
      <c r="G180" s="91"/>
      <c r="H180" s="91"/>
      <c r="I180" s="91"/>
      <c r="J180" s="91"/>
      <c r="K180" s="91"/>
      <c r="L180" s="91"/>
      <c r="M180" s="91"/>
      <c r="N180" s="91"/>
      <c r="O180" s="92"/>
      <c r="P180" s="92"/>
      <c r="Q180" s="92"/>
      <c r="R180" s="92"/>
      <c r="S180" s="92"/>
      <c r="T180" s="92"/>
      <c r="U180" s="92"/>
      <c r="V180" s="92"/>
      <c r="W180" s="92"/>
      <c r="X180" s="92"/>
      <c r="Y180" s="92"/>
      <c r="Z180" s="92"/>
      <c r="AA180" s="90"/>
    </row>
    <row r="181" spans="1:27" x14ac:dyDescent="0.35">
      <c r="A181" s="1"/>
      <c r="B181" s="91"/>
      <c r="C181" s="91"/>
      <c r="D181" s="91"/>
      <c r="E181" s="91"/>
      <c r="F181" s="91"/>
      <c r="G181" s="91"/>
      <c r="H181" s="91"/>
      <c r="I181" s="91"/>
      <c r="J181" s="91"/>
      <c r="K181" s="91"/>
      <c r="L181" s="91"/>
      <c r="M181" s="91"/>
      <c r="N181" s="91"/>
      <c r="O181" s="92"/>
      <c r="P181" s="92"/>
      <c r="Q181" s="92"/>
      <c r="R181" s="92"/>
      <c r="S181" s="92"/>
      <c r="T181" s="92"/>
      <c r="U181" s="92"/>
      <c r="V181" s="92"/>
      <c r="W181" s="92"/>
      <c r="X181" s="92"/>
      <c r="Y181" s="92"/>
      <c r="Z181" s="92"/>
      <c r="AA181" s="90"/>
    </row>
    <row r="182" spans="1:27" x14ac:dyDescent="0.35">
      <c r="A182" s="1"/>
      <c r="B182" s="91"/>
      <c r="C182" s="91"/>
      <c r="D182" s="91"/>
      <c r="E182" s="91"/>
      <c r="F182" s="91"/>
      <c r="G182" s="91"/>
      <c r="H182" s="91"/>
      <c r="I182" s="91"/>
      <c r="J182" s="91"/>
      <c r="K182" s="91"/>
      <c r="L182" s="91"/>
      <c r="M182" s="91"/>
      <c r="N182" s="91"/>
      <c r="O182" s="92"/>
      <c r="P182" s="92"/>
      <c r="Q182" s="92"/>
      <c r="R182" s="92"/>
      <c r="S182" s="92"/>
      <c r="T182" s="92"/>
      <c r="U182" s="92"/>
      <c r="V182" s="92"/>
      <c r="W182" s="92"/>
      <c r="X182" s="92"/>
      <c r="Y182" s="92"/>
      <c r="Z182" s="92"/>
      <c r="AA182" s="90"/>
    </row>
    <row r="183" spans="1:27" x14ac:dyDescent="0.35">
      <c r="A183" s="1"/>
      <c r="B183" s="91"/>
      <c r="C183" s="91"/>
      <c r="D183" s="91"/>
      <c r="E183" s="91"/>
      <c r="F183" s="91"/>
      <c r="G183" s="91"/>
      <c r="H183" s="91"/>
      <c r="I183" s="91"/>
      <c r="J183" s="91"/>
      <c r="K183" s="91"/>
      <c r="L183" s="91"/>
      <c r="M183" s="91"/>
      <c r="N183" s="91"/>
      <c r="O183" s="92"/>
      <c r="P183" s="92"/>
      <c r="Q183" s="92"/>
      <c r="R183" s="92"/>
      <c r="S183" s="92"/>
      <c r="T183" s="92"/>
      <c r="U183" s="92"/>
      <c r="V183" s="92"/>
      <c r="W183" s="92"/>
      <c r="X183" s="92"/>
      <c r="Y183" s="92"/>
      <c r="Z183" s="92"/>
      <c r="AA183" s="90"/>
    </row>
    <row r="184" spans="1:27" x14ac:dyDescent="0.35">
      <c r="A184" s="1"/>
      <c r="B184" s="91"/>
      <c r="C184" s="91"/>
      <c r="D184" s="91"/>
      <c r="E184" s="91"/>
      <c r="F184" s="91"/>
      <c r="G184" s="91"/>
      <c r="H184" s="91"/>
      <c r="I184" s="91"/>
      <c r="J184" s="91"/>
      <c r="K184" s="91"/>
      <c r="L184" s="91"/>
      <c r="M184" s="91"/>
      <c r="N184" s="91"/>
      <c r="O184" s="92"/>
      <c r="P184" s="92"/>
      <c r="Q184" s="92"/>
      <c r="R184" s="92"/>
      <c r="S184" s="92"/>
      <c r="T184" s="92"/>
      <c r="U184" s="92"/>
      <c r="V184" s="92"/>
      <c r="W184" s="92"/>
      <c r="X184" s="92"/>
      <c r="Y184" s="92"/>
      <c r="Z184" s="92"/>
      <c r="AA184" s="90"/>
    </row>
    <row r="185" spans="1:27" x14ac:dyDescent="0.35">
      <c r="A185" s="1"/>
      <c r="B185" s="91"/>
      <c r="C185" s="91"/>
      <c r="D185" s="91"/>
      <c r="E185" s="91"/>
      <c r="F185" s="91"/>
      <c r="G185" s="91"/>
      <c r="H185" s="91"/>
      <c r="I185" s="91"/>
      <c r="J185" s="91"/>
      <c r="K185" s="91"/>
      <c r="L185" s="91"/>
      <c r="M185" s="91"/>
      <c r="N185" s="91"/>
      <c r="O185" s="92"/>
      <c r="P185" s="92"/>
      <c r="Q185" s="92"/>
      <c r="R185" s="92"/>
      <c r="S185" s="92"/>
      <c r="T185" s="92"/>
      <c r="U185" s="92"/>
      <c r="V185" s="92"/>
      <c r="W185" s="92"/>
      <c r="X185" s="92"/>
      <c r="Y185" s="92"/>
      <c r="Z185" s="92"/>
      <c r="AA185" s="90"/>
    </row>
    <row r="186" spans="1:27" x14ac:dyDescent="0.35">
      <c r="A186" s="1"/>
      <c r="B186" s="91"/>
      <c r="C186" s="91"/>
      <c r="D186" s="91"/>
      <c r="E186" s="91"/>
      <c r="F186" s="91"/>
      <c r="G186" s="91"/>
      <c r="H186" s="91"/>
      <c r="I186" s="91"/>
      <c r="J186" s="91"/>
      <c r="K186" s="91"/>
      <c r="L186" s="91"/>
      <c r="M186" s="91"/>
      <c r="N186" s="91"/>
      <c r="O186" s="92"/>
      <c r="P186" s="92"/>
      <c r="Q186" s="92"/>
      <c r="R186" s="92"/>
      <c r="S186" s="92"/>
      <c r="T186" s="92"/>
      <c r="U186" s="92"/>
      <c r="V186" s="92"/>
      <c r="W186" s="92"/>
      <c r="X186" s="92"/>
      <c r="Y186" s="92"/>
      <c r="Z186" s="92"/>
      <c r="AA186" s="90"/>
    </row>
    <row r="187" spans="1:27" x14ac:dyDescent="0.35">
      <c r="A187" s="1"/>
      <c r="B187" s="91"/>
      <c r="C187" s="91"/>
      <c r="D187" s="91"/>
      <c r="E187" s="91"/>
      <c r="F187" s="91"/>
      <c r="G187" s="91"/>
      <c r="H187" s="91"/>
      <c r="I187" s="91"/>
      <c r="J187" s="91"/>
      <c r="K187" s="91"/>
      <c r="L187" s="91"/>
      <c r="M187" s="91"/>
      <c r="N187" s="91"/>
      <c r="O187" s="92"/>
      <c r="P187" s="92"/>
      <c r="Q187" s="92"/>
      <c r="R187" s="92"/>
      <c r="S187" s="92"/>
      <c r="T187" s="92"/>
      <c r="U187" s="92"/>
      <c r="V187" s="92"/>
      <c r="W187" s="92"/>
      <c r="X187" s="92"/>
      <c r="Y187" s="92"/>
      <c r="Z187" s="92"/>
      <c r="AA187" s="90"/>
    </row>
    <row r="188" spans="1:27" x14ac:dyDescent="0.35">
      <c r="A188" s="1"/>
      <c r="B188" s="91"/>
      <c r="C188" s="91"/>
      <c r="D188" s="91"/>
      <c r="E188" s="91"/>
      <c r="F188" s="91"/>
      <c r="G188" s="91"/>
      <c r="H188" s="91"/>
      <c r="I188" s="91"/>
      <c r="J188" s="91"/>
      <c r="K188" s="91"/>
      <c r="L188" s="91"/>
      <c r="M188" s="91"/>
      <c r="N188" s="91"/>
      <c r="O188" s="92"/>
      <c r="P188" s="92"/>
      <c r="Q188" s="92"/>
      <c r="R188" s="92"/>
      <c r="S188" s="92"/>
      <c r="T188" s="92"/>
      <c r="U188" s="92"/>
      <c r="V188" s="92"/>
      <c r="W188" s="92"/>
      <c r="X188" s="92"/>
      <c r="Y188" s="92"/>
      <c r="Z188" s="92"/>
      <c r="AA188" s="90"/>
    </row>
    <row r="189" spans="1:27" x14ac:dyDescent="0.35">
      <c r="A189" s="1"/>
      <c r="B189" s="91"/>
      <c r="C189" s="91"/>
      <c r="D189" s="91"/>
      <c r="E189" s="91"/>
      <c r="F189" s="91"/>
      <c r="G189" s="91"/>
      <c r="H189" s="91"/>
      <c r="I189" s="91"/>
      <c r="J189" s="91"/>
      <c r="K189" s="91"/>
      <c r="L189" s="91"/>
      <c r="M189" s="91"/>
      <c r="N189" s="91"/>
      <c r="O189" s="92"/>
      <c r="P189" s="92"/>
      <c r="Q189" s="92"/>
      <c r="R189" s="92"/>
      <c r="S189" s="92"/>
      <c r="T189" s="92"/>
      <c r="U189" s="92"/>
      <c r="V189" s="92"/>
      <c r="W189" s="92"/>
      <c r="X189" s="92"/>
      <c r="Y189" s="92"/>
      <c r="Z189" s="92"/>
      <c r="AA189" s="90"/>
    </row>
    <row r="190" spans="1:27" x14ac:dyDescent="0.35">
      <c r="A190" s="1"/>
      <c r="B190" s="91"/>
      <c r="C190" s="91"/>
      <c r="D190" s="91"/>
      <c r="E190" s="91"/>
      <c r="F190" s="91"/>
      <c r="G190" s="91"/>
      <c r="H190" s="91"/>
      <c r="I190" s="91"/>
      <c r="J190" s="91"/>
      <c r="K190" s="91"/>
      <c r="L190" s="91"/>
      <c r="M190" s="91"/>
      <c r="N190" s="91"/>
      <c r="O190" s="92"/>
      <c r="P190" s="92"/>
      <c r="Q190" s="92"/>
      <c r="R190" s="92"/>
      <c r="S190" s="92"/>
      <c r="T190" s="92"/>
      <c r="U190" s="92"/>
      <c r="V190" s="92"/>
      <c r="W190" s="92"/>
      <c r="X190" s="92"/>
      <c r="Y190" s="92"/>
      <c r="Z190" s="92"/>
      <c r="AA190" s="90"/>
    </row>
    <row r="191" spans="1:27" x14ac:dyDescent="0.35">
      <c r="A191" s="1"/>
      <c r="B191" s="91"/>
      <c r="C191" s="91"/>
      <c r="D191" s="91"/>
      <c r="E191" s="91"/>
      <c r="F191" s="91"/>
      <c r="G191" s="91"/>
      <c r="H191" s="91"/>
      <c r="I191" s="91"/>
      <c r="J191" s="91"/>
      <c r="K191" s="91"/>
      <c r="L191" s="91"/>
      <c r="M191" s="91"/>
      <c r="N191" s="91"/>
      <c r="O191" s="92"/>
      <c r="P191" s="92"/>
      <c r="Q191" s="92"/>
      <c r="R191" s="92"/>
      <c r="S191" s="92"/>
      <c r="T191" s="92"/>
      <c r="U191" s="92"/>
      <c r="V191" s="92"/>
      <c r="W191" s="92"/>
      <c r="X191" s="92"/>
      <c r="Y191" s="92"/>
      <c r="Z191" s="92"/>
      <c r="AA191" s="90"/>
    </row>
    <row r="192" spans="1:27" x14ac:dyDescent="0.35">
      <c r="A192" s="1"/>
      <c r="B192" s="91"/>
      <c r="C192" s="91"/>
      <c r="D192" s="91"/>
      <c r="E192" s="91"/>
      <c r="F192" s="91"/>
      <c r="G192" s="91"/>
      <c r="H192" s="91"/>
      <c r="I192" s="91"/>
      <c r="J192" s="91"/>
      <c r="K192" s="91"/>
      <c r="L192" s="91"/>
      <c r="M192" s="91"/>
      <c r="N192" s="91"/>
      <c r="O192" s="92"/>
      <c r="P192" s="92"/>
      <c r="Q192" s="92"/>
      <c r="R192" s="92"/>
      <c r="S192" s="92"/>
      <c r="T192" s="92"/>
      <c r="U192" s="92"/>
      <c r="V192" s="92"/>
      <c r="W192" s="92"/>
      <c r="X192" s="92"/>
      <c r="Y192" s="92"/>
      <c r="Z192" s="92"/>
      <c r="AA192" s="90"/>
    </row>
    <row r="193" spans="1:27" x14ac:dyDescent="0.35">
      <c r="A193" s="1"/>
      <c r="B193" s="91"/>
      <c r="C193" s="91"/>
      <c r="D193" s="91"/>
      <c r="E193" s="91"/>
      <c r="F193" s="91"/>
      <c r="G193" s="91"/>
      <c r="H193" s="91"/>
      <c r="I193" s="91"/>
      <c r="J193" s="91"/>
      <c r="K193" s="91"/>
      <c r="L193" s="91"/>
      <c r="M193" s="91"/>
      <c r="N193" s="91"/>
      <c r="O193" s="92"/>
      <c r="P193" s="92"/>
      <c r="Q193" s="92"/>
      <c r="R193" s="92"/>
      <c r="S193" s="92"/>
      <c r="T193" s="92"/>
      <c r="U193" s="92"/>
      <c r="V193" s="92"/>
      <c r="W193" s="92"/>
      <c r="X193" s="92"/>
      <c r="Y193" s="92"/>
      <c r="Z193" s="92"/>
      <c r="AA193" s="90"/>
    </row>
    <row r="194" spans="1:27" x14ac:dyDescent="0.35">
      <c r="A194" s="1"/>
      <c r="B194" s="91"/>
      <c r="C194" s="91"/>
      <c r="D194" s="91"/>
      <c r="E194" s="91"/>
      <c r="F194" s="91"/>
      <c r="G194" s="91"/>
      <c r="H194" s="91"/>
      <c r="I194" s="91"/>
      <c r="J194" s="91"/>
      <c r="K194" s="91"/>
      <c r="L194" s="91"/>
      <c r="M194" s="91"/>
      <c r="N194" s="91"/>
      <c r="O194" s="92"/>
      <c r="P194" s="92"/>
      <c r="Q194" s="92"/>
      <c r="R194" s="92"/>
      <c r="S194" s="92"/>
      <c r="T194" s="92"/>
      <c r="U194" s="92"/>
      <c r="V194" s="92"/>
      <c r="W194" s="92"/>
      <c r="X194" s="92"/>
      <c r="Y194" s="92"/>
      <c r="Z194" s="92"/>
      <c r="AA194" s="90"/>
    </row>
    <row r="195" spans="1:27" x14ac:dyDescent="0.35">
      <c r="A195" s="1"/>
      <c r="B195" s="91"/>
      <c r="C195" s="91"/>
      <c r="D195" s="91"/>
      <c r="E195" s="91"/>
      <c r="F195" s="91"/>
      <c r="G195" s="91"/>
      <c r="H195" s="91"/>
      <c r="I195" s="91"/>
      <c r="J195" s="91"/>
      <c r="K195" s="91"/>
      <c r="L195" s="91"/>
      <c r="M195" s="91"/>
      <c r="N195" s="91"/>
      <c r="O195" s="92"/>
      <c r="P195" s="92"/>
      <c r="Q195" s="92"/>
      <c r="R195" s="92"/>
      <c r="S195" s="92"/>
      <c r="T195" s="92"/>
      <c r="U195" s="92"/>
      <c r="V195" s="92"/>
      <c r="W195" s="92"/>
      <c r="X195" s="92"/>
      <c r="Y195" s="92"/>
      <c r="Z195" s="92"/>
      <c r="AA195" s="90"/>
    </row>
    <row r="196" spans="1:27" x14ac:dyDescent="0.35">
      <c r="A196" s="1"/>
      <c r="B196" s="91"/>
      <c r="C196" s="91"/>
      <c r="D196" s="91"/>
      <c r="E196" s="91"/>
      <c r="F196" s="91"/>
      <c r="G196" s="91"/>
      <c r="H196" s="91"/>
      <c r="I196" s="91"/>
      <c r="J196" s="91"/>
      <c r="K196" s="91"/>
      <c r="L196" s="91"/>
      <c r="M196" s="91"/>
      <c r="N196" s="91"/>
      <c r="O196" s="92"/>
      <c r="P196" s="92"/>
      <c r="Q196" s="92"/>
      <c r="R196" s="92"/>
      <c r="S196" s="92"/>
      <c r="T196" s="92"/>
      <c r="U196" s="92"/>
      <c r="V196" s="92"/>
      <c r="W196" s="92"/>
      <c r="X196" s="92"/>
      <c r="Y196" s="92"/>
      <c r="Z196" s="92"/>
      <c r="AA196" s="90"/>
    </row>
    <row r="197" spans="1:27" x14ac:dyDescent="0.35">
      <c r="A197" s="1"/>
      <c r="B197" s="91"/>
      <c r="C197" s="91"/>
      <c r="D197" s="91"/>
      <c r="E197" s="91"/>
      <c r="F197" s="91"/>
      <c r="G197" s="91"/>
      <c r="H197" s="91"/>
      <c r="I197" s="91"/>
      <c r="J197" s="91"/>
      <c r="K197" s="91"/>
      <c r="L197" s="91"/>
      <c r="M197" s="91"/>
      <c r="N197" s="91"/>
      <c r="O197" s="92"/>
      <c r="P197" s="92"/>
      <c r="Q197" s="92"/>
      <c r="R197" s="92"/>
      <c r="S197" s="92"/>
      <c r="T197" s="92"/>
      <c r="U197" s="92"/>
      <c r="V197" s="92"/>
      <c r="W197" s="92"/>
      <c r="X197" s="92"/>
      <c r="Y197" s="92"/>
      <c r="Z197" s="92"/>
      <c r="AA197" s="90"/>
    </row>
    <row r="198" spans="1:27" x14ac:dyDescent="0.35">
      <c r="A198" s="1"/>
      <c r="B198" s="91"/>
      <c r="C198" s="91"/>
      <c r="D198" s="91"/>
      <c r="E198" s="91"/>
      <c r="F198" s="91"/>
      <c r="G198" s="91"/>
      <c r="H198" s="91"/>
      <c r="I198" s="91"/>
      <c r="J198" s="91"/>
      <c r="K198" s="91"/>
      <c r="L198" s="91"/>
      <c r="M198" s="91"/>
      <c r="N198" s="91"/>
      <c r="O198" s="92"/>
      <c r="P198" s="92"/>
      <c r="Q198" s="92"/>
      <c r="R198" s="92"/>
      <c r="S198" s="92"/>
      <c r="T198" s="92"/>
      <c r="U198" s="92"/>
      <c r="V198" s="92"/>
      <c r="W198" s="92"/>
      <c r="X198" s="92"/>
      <c r="Y198" s="92"/>
      <c r="Z198" s="92"/>
      <c r="AA198" s="90"/>
    </row>
    <row r="199" spans="1:27" x14ac:dyDescent="0.35">
      <c r="A199" s="1"/>
      <c r="B199" s="91"/>
      <c r="C199" s="91"/>
      <c r="D199" s="91"/>
      <c r="E199" s="91"/>
      <c r="F199" s="91"/>
      <c r="G199" s="91"/>
      <c r="H199" s="91"/>
      <c r="I199" s="91"/>
      <c r="J199" s="91"/>
      <c r="K199" s="91"/>
      <c r="L199" s="91"/>
      <c r="M199" s="91"/>
      <c r="N199" s="91"/>
      <c r="O199" s="92"/>
      <c r="P199" s="92"/>
      <c r="Q199" s="92"/>
      <c r="R199" s="92"/>
      <c r="S199" s="92"/>
      <c r="T199" s="92"/>
      <c r="U199" s="92"/>
      <c r="V199" s="92"/>
      <c r="W199" s="92"/>
      <c r="X199" s="92"/>
      <c r="Y199" s="92"/>
      <c r="Z199" s="92"/>
      <c r="AA199" s="90"/>
    </row>
    <row r="200" spans="1:27" x14ac:dyDescent="0.35">
      <c r="A200" s="1"/>
      <c r="B200" s="91"/>
      <c r="C200" s="91"/>
      <c r="D200" s="91"/>
      <c r="E200" s="91"/>
      <c r="F200" s="91"/>
      <c r="G200" s="91"/>
      <c r="H200" s="91"/>
      <c r="I200" s="91"/>
      <c r="J200" s="91"/>
      <c r="K200" s="91"/>
      <c r="L200" s="91"/>
      <c r="M200" s="91"/>
      <c r="N200" s="91"/>
      <c r="O200" s="92"/>
      <c r="P200" s="92"/>
      <c r="Q200" s="92"/>
      <c r="R200" s="92"/>
      <c r="S200" s="92"/>
      <c r="T200" s="92"/>
      <c r="U200" s="92"/>
      <c r="V200" s="92"/>
      <c r="W200" s="92"/>
      <c r="X200" s="92"/>
      <c r="Y200" s="92"/>
      <c r="Z200" s="92"/>
      <c r="AA200" s="90"/>
    </row>
    <row r="201" spans="1:27" x14ac:dyDescent="0.35">
      <c r="A201" s="1"/>
      <c r="B201" s="91"/>
      <c r="C201" s="91"/>
      <c r="D201" s="91"/>
      <c r="E201" s="91"/>
      <c r="F201" s="91"/>
      <c r="G201" s="91"/>
      <c r="H201" s="91"/>
      <c r="I201" s="91"/>
      <c r="J201" s="91"/>
      <c r="K201" s="91"/>
      <c r="L201" s="91"/>
      <c r="M201" s="91"/>
      <c r="N201" s="91"/>
      <c r="O201" s="92"/>
      <c r="P201" s="92"/>
      <c r="Q201" s="92"/>
      <c r="R201" s="92"/>
      <c r="S201" s="92"/>
      <c r="T201" s="92"/>
      <c r="U201" s="92"/>
      <c r="V201" s="92"/>
      <c r="W201" s="92"/>
      <c r="X201" s="92"/>
      <c r="Y201" s="92"/>
      <c r="Z201" s="92"/>
      <c r="AA201" s="90"/>
    </row>
    <row r="202" spans="1:27" x14ac:dyDescent="0.35">
      <c r="A202" s="1"/>
      <c r="B202" s="91"/>
      <c r="C202" s="91"/>
      <c r="D202" s="91"/>
      <c r="E202" s="91"/>
      <c r="F202" s="91"/>
      <c r="G202" s="91"/>
      <c r="H202" s="91"/>
      <c r="I202" s="91"/>
      <c r="J202" s="91"/>
      <c r="K202" s="91"/>
      <c r="L202" s="91"/>
      <c r="M202" s="91"/>
      <c r="N202" s="91"/>
      <c r="O202" s="92"/>
      <c r="P202" s="92"/>
      <c r="Q202" s="92"/>
      <c r="R202" s="92"/>
      <c r="S202" s="92"/>
      <c r="T202" s="92"/>
      <c r="U202" s="92"/>
      <c r="V202" s="92"/>
      <c r="W202" s="92"/>
      <c r="X202" s="92"/>
      <c r="Y202" s="92"/>
      <c r="Z202" s="92"/>
      <c r="AA202" s="90"/>
    </row>
    <row r="203" spans="1:27" x14ac:dyDescent="0.35">
      <c r="A203" s="1"/>
      <c r="B203" s="91"/>
      <c r="C203" s="91"/>
      <c r="D203" s="91"/>
      <c r="E203" s="91"/>
      <c r="F203" s="91"/>
      <c r="G203" s="91"/>
      <c r="H203" s="91"/>
      <c r="I203" s="91"/>
      <c r="J203" s="91"/>
      <c r="K203" s="91"/>
      <c r="L203" s="91"/>
      <c r="M203" s="91"/>
      <c r="N203" s="91"/>
      <c r="O203" s="92"/>
      <c r="P203" s="92"/>
      <c r="Q203" s="92"/>
      <c r="R203" s="92"/>
      <c r="S203" s="92"/>
      <c r="T203" s="92"/>
      <c r="U203" s="92"/>
      <c r="V203" s="92"/>
      <c r="W203" s="92"/>
      <c r="X203" s="92"/>
      <c r="Y203" s="92"/>
      <c r="Z203" s="92"/>
      <c r="AA203" s="90"/>
    </row>
    <row r="204" spans="1:27" x14ac:dyDescent="0.35">
      <c r="A204" s="1"/>
      <c r="B204" s="91"/>
      <c r="C204" s="91"/>
      <c r="D204" s="91"/>
      <c r="E204" s="91"/>
      <c r="F204" s="91"/>
      <c r="G204" s="91"/>
      <c r="H204" s="91"/>
      <c r="I204" s="91"/>
      <c r="J204" s="91"/>
      <c r="K204" s="91"/>
      <c r="L204" s="91"/>
      <c r="M204" s="91"/>
      <c r="N204" s="91"/>
      <c r="O204" s="92"/>
      <c r="P204" s="92"/>
      <c r="Q204" s="92"/>
      <c r="R204" s="92"/>
      <c r="S204" s="92"/>
      <c r="T204" s="92"/>
      <c r="U204" s="92"/>
      <c r="V204" s="92"/>
      <c r="W204" s="92"/>
      <c r="X204" s="92"/>
      <c r="Y204" s="92"/>
      <c r="Z204" s="92"/>
      <c r="AA204" s="90"/>
    </row>
    <row r="205" spans="1:27" x14ac:dyDescent="0.35">
      <c r="A205" s="1"/>
      <c r="B205" s="91"/>
      <c r="C205" s="91"/>
      <c r="D205" s="91"/>
      <c r="E205" s="91"/>
      <c r="F205" s="91"/>
      <c r="G205" s="91"/>
      <c r="H205" s="91"/>
      <c r="I205" s="91"/>
      <c r="J205" s="91"/>
      <c r="K205" s="91"/>
      <c r="L205" s="91"/>
      <c r="M205" s="91"/>
      <c r="N205" s="91"/>
      <c r="O205" s="92"/>
      <c r="P205" s="92"/>
      <c r="Q205" s="92"/>
      <c r="R205" s="92"/>
      <c r="S205" s="92"/>
      <c r="T205" s="92"/>
      <c r="U205" s="92"/>
      <c r="V205" s="92"/>
      <c r="W205" s="92"/>
      <c r="X205" s="92"/>
      <c r="Y205" s="92"/>
      <c r="Z205" s="92"/>
      <c r="AA205" s="90"/>
    </row>
    <row r="206" spans="1:27" x14ac:dyDescent="0.35">
      <c r="A206" s="1"/>
      <c r="B206" s="91"/>
      <c r="C206" s="91"/>
      <c r="D206" s="91"/>
      <c r="E206" s="91"/>
      <c r="F206" s="91"/>
      <c r="G206" s="91"/>
      <c r="H206" s="91"/>
      <c r="I206" s="91"/>
      <c r="J206" s="91"/>
      <c r="K206" s="91"/>
      <c r="L206" s="91"/>
      <c r="M206" s="91"/>
      <c r="N206" s="91"/>
      <c r="O206" s="92"/>
      <c r="P206" s="92"/>
      <c r="Q206" s="92"/>
      <c r="R206" s="92"/>
      <c r="S206" s="92"/>
      <c r="T206" s="92"/>
      <c r="U206" s="92"/>
      <c r="V206" s="92"/>
      <c r="W206" s="92"/>
      <c r="X206" s="92"/>
      <c r="Y206" s="92"/>
      <c r="Z206" s="92"/>
      <c r="AA206" s="90"/>
    </row>
    <row r="207" spans="1:27" x14ac:dyDescent="0.35">
      <c r="A207" s="1"/>
      <c r="B207" s="91"/>
      <c r="C207" s="91"/>
      <c r="D207" s="91"/>
      <c r="E207" s="91"/>
      <c r="F207" s="91"/>
      <c r="G207" s="91"/>
      <c r="H207" s="91"/>
      <c r="I207" s="91"/>
      <c r="J207" s="91"/>
      <c r="K207" s="91"/>
      <c r="L207" s="91"/>
      <c r="M207" s="91"/>
      <c r="N207" s="91"/>
      <c r="O207" s="92"/>
      <c r="P207" s="92"/>
      <c r="Q207" s="92"/>
      <c r="R207" s="92"/>
      <c r="S207" s="92"/>
      <c r="T207" s="92"/>
      <c r="U207" s="92"/>
      <c r="V207" s="92"/>
      <c r="W207" s="92"/>
      <c r="X207" s="92"/>
      <c r="Y207" s="92"/>
      <c r="Z207" s="92"/>
      <c r="AA207" s="90"/>
    </row>
    <row r="208" spans="1:27" x14ac:dyDescent="0.35">
      <c r="A208" s="1"/>
      <c r="B208" s="91"/>
      <c r="C208" s="91"/>
      <c r="D208" s="91"/>
      <c r="E208" s="91"/>
      <c r="F208" s="91"/>
      <c r="G208" s="91"/>
      <c r="H208" s="91"/>
      <c r="I208" s="91"/>
      <c r="J208" s="91"/>
      <c r="K208" s="91"/>
      <c r="L208" s="91"/>
      <c r="M208" s="91"/>
      <c r="N208" s="91"/>
      <c r="O208" s="92"/>
      <c r="P208" s="92"/>
      <c r="Q208" s="92"/>
      <c r="R208" s="92"/>
      <c r="S208" s="92"/>
      <c r="T208" s="92"/>
      <c r="U208" s="92"/>
      <c r="V208" s="92"/>
      <c r="W208" s="92"/>
      <c r="X208" s="92"/>
      <c r="Y208" s="92"/>
      <c r="Z208" s="92"/>
      <c r="AA208" s="90"/>
    </row>
    <row r="209" spans="1:27" x14ac:dyDescent="0.35">
      <c r="A209" s="1"/>
      <c r="B209" s="91"/>
      <c r="C209" s="91"/>
      <c r="D209" s="91"/>
      <c r="E209" s="91"/>
      <c r="F209" s="91"/>
      <c r="G209" s="91"/>
      <c r="H209" s="91"/>
      <c r="I209" s="91"/>
      <c r="J209" s="91"/>
      <c r="K209" s="91"/>
      <c r="L209" s="91"/>
      <c r="M209" s="91"/>
      <c r="N209" s="91"/>
      <c r="O209" s="92"/>
      <c r="P209" s="92"/>
      <c r="Q209" s="92"/>
      <c r="R209" s="92"/>
      <c r="S209" s="92"/>
      <c r="T209" s="92"/>
      <c r="U209" s="92"/>
      <c r="V209" s="92"/>
      <c r="W209" s="92"/>
      <c r="X209" s="92"/>
      <c r="Y209" s="92"/>
      <c r="Z209" s="92"/>
      <c r="AA209" s="90"/>
    </row>
    <row r="210" spans="1:27" x14ac:dyDescent="0.35">
      <c r="A210" s="1"/>
      <c r="B210" s="91"/>
      <c r="C210" s="91"/>
      <c r="D210" s="91"/>
      <c r="E210" s="91"/>
      <c r="F210" s="91"/>
      <c r="G210" s="91"/>
      <c r="H210" s="91"/>
      <c r="I210" s="91"/>
      <c r="J210" s="91"/>
      <c r="K210" s="91"/>
      <c r="L210" s="91"/>
      <c r="M210" s="91"/>
      <c r="N210" s="91"/>
      <c r="O210" s="92"/>
      <c r="P210" s="92"/>
      <c r="Q210" s="92"/>
      <c r="R210" s="92"/>
      <c r="S210" s="92"/>
      <c r="T210" s="92"/>
      <c r="U210" s="92"/>
      <c r="V210" s="92"/>
      <c r="W210" s="92"/>
      <c r="X210" s="92"/>
      <c r="Y210" s="92"/>
      <c r="Z210" s="92"/>
      <c r="AA210" s="90"/>
    </row>
    <row r="211" spans="1:27" x14ac:dyDescent="0.35">
      <c r="A211" s="1"/>
      <c r="B211" s="91"/>
      <c r="C211" s="91"/>
      <c r="D211" s="91"/>
      <c r="E211" s="91"/>
      <c r="F211" s="91"/>
      <c r="G211" s="91"/>
      <c r="H211" s="91"/>
      <c r="I211" s="91"/>
      <c r="J211" s="91"/>
      <c r="K211" s="91"/>
      <c r="L211" s="91"/>
      <c r="M211" s="91"/>
      <c r="N211" s="91"/>
      <c r="O211" s="92"/>
      <c r="P211" s="92"/>
      <c r="Q211" s="92"/>
      <c r="R211" s="92"/>
      <c r="S211" s="92"/>
      <c r="T211" s="92"/>
      <c r="U211" s="92"/>
      <c r="V211" s="92"/>
      <c r="W211" s="92"/>
      <c r="X211" s="92"/>
      <c r="Y211" s="92"/>
      <c r="Z211" s="92"/>
      <c r="AA211" s="90"/>
    </row>
    <row r="212" spans="1:27" x14ac:dyDescent="0.35">
      <c r="A212" s="1"/>
      <c r="B212" s="91"/>
      <c r="C212" s="91"/>
      <c r="D212" s="91"/>
      <c r="E212" s="91"/>
      <c r="F212" s="91"/>
      <c r="G212" s="91"/>
      <c r="H212" s="91"/>
      <c r="I212" s="91"/>
      <c r="J212" s="91"/>
      <c r="K212" s="91"/>
      <c r="L212" s="91"/>
      <c r="M212" s="91"/>
      <c r="N212" s="91"/>
      <c r="O212" s="92"/>
      <c r="P212" s="92"/>
      <c r="Q212" s="92"/>
      <c r="R212" s="92"/>
      <c r="S212" s="92"/>
      <c r="T212" s="92"/>
      <c r="U212" s="92"/>
      <c r="V212" s="92"/>
      <c r="W212" s="92"/>
      <c r="X212" s="92"/>
      <c r="Y212" s="92"/>
      <c r="Z212" s="92"/>
      <c r="AA212" s="90"/>
    </row>
    <row r="213" spans="1:27" x14ac:dyDescent="0.35">
      <c r="A213" s="1"/>
      <c r="B213" s="91"/>
      <c r="C213" s="91"/>
      <c r="D213" s="91"/>
      <c r="E213" s="91"/>
      <c r="F213" s="91"/>
      <c r="G213" s="91"/>
      <c r="H213" s="91"/>
      <c r="I213" s="91"/>
      <c r="J213" s="91"/>
      <c r="K213" s="91"/>
      <c r="L213" s="91"/>
      <c r="M213" s="91"/>
      <c r="N213" s="91"/>
      <c r="O213" s="92"/>
      <c r="P213" s="92"/>
      <c r="Q213" s="92"/>
      <c r="R213" s="92"/>
      <c r="S213" s="92"/>
      <c r="T213" s="92"/>
      <c r="U213" s="92"/>
      <c r="V213" s="92"/>
      <c r="W213" s="92"/>
      <c r="X213" s="92"/>
      <c r="Y213" s="92"/>
      <c r="Z213" s="92"/>
      <c r="AA213" s="90"/>
    </row>
    <row r="214" spans="1:27" x14ac:dyDescent="0.35">
      <c r="A214" s="1"/>
      <c r="B214" s="91"/>
      <c r="C214" s="91"/>
      <c r="D214" s="91"/>
      <c r="E214" s="91"/>
      <c r="F214" s="91"/>
      <c r="G214" s="91"/>
      <c r="H214" s="91"/>
      <c r="I214" s="91"/>
      <c r="J214" s="91"/>
      <c r="K214" s="91"/>
      <c r="L214" s="91"/>
      <c r="M214" s="91"/>
      <c r="N214" s="91"/>
      <c r="O214" s="92"/>
      <c r="P214" s="92"/>
      <c r="Q214" s="92"/>
      <c r="R214" s="92"/>
      <c r="S214" s="92"/>
      <c r="T214" s="92"/>
      <c r="U214" s="92"/>
      <c r="V214" s="92"/>
      <c r="W214" s="92"/>
      <c r="X214" s="92"/>
      <c r="Y214" s="92"/>
      <c r="Z214" s="92"/>
      <c r="AA214" s="90"/>
    </row>
    <row r="215" spans="1:27" x14ac:dyDescent="0.35">
      <c r="A215" s="1"/>
      <c r="B215" s="91"/>
      <c r="C215" s="91"/>
      <c r="D215" s="91"/>
      <c r="E215" s="91"/>
      <c r="F215" s="91"/>
      <c r="G215" s="91"/>
      <c r="H215" s="91"/>
      <c r="I215" s="91"/>
      <c r="J215" s="91"/>
      <c r="K215" s="91"/>
      <c r="L215" s="91"/>
      <c r="M215" s="91"/>
      <c r="N215" s="91"/>
      <c r="O215" s="92"/>
      <c r="P215" s="92"/>
      <c r="Q215" s="92"/>
      <c r="R215" s="92"/>
      <c r="S215" s="92"/>
      <c r="T215" s="92"/>
      <c r="U215" s="92"/>
      <c r="V215" s="92"/>
      <c r="W215" s="92"/>
      <c r="X215" s="92"/>
      <c r="Y215" s="92"/>
      <c r="Z215" s="92"/>
      <c r="AA215" s="90"/>
    </row>
    <row r="216" spans="1:27" x14ac:dyDescent="0.35">
      <c r="A216" s="1"/>
      <c r="B216" s="91"/>
      <c r="C216" s="91"/>
      <c r="D216" s="91"/>
      <c r="E216" s="91"/>
      <c r="F216" s="91"/>
      <c r="G216" s="91"/>
      <c r="H216" s="91"/>
      <c r="I216" s="91"/>
      <c r="J216" s="91"/>
      <c r="K216" s="91"/>
      <c r="L216" s="91"/>
      <c r="M216" s="91"/>
      <c r="N216" s="91"/>
      <c r="O216" s="92"/>
      <c r="P216" s="92"/>
      <c r="Q216" s="92"/>
      <c r="R216" s="92"/>
      <c r="S216" s="92"/>
      <c r="T216" s="92"/>
      <c r="U216" s="92"/>
      <c r="V216" s="92"/>
      <c r="W216" s="92"/>
      <c r="X216" s="92"/>
      <c r="Y216" s="92"/>
      <c r="Z216" s="92"/>
      <c r="AA216" s="90"/>
    </row>
    <row r="217" spans="1:27" x14ac:dyDescent="0.35">
      <c r="A217" s="1"/>
      <c r="B217" s="91"/>
      <c r="C217" s="91"/>
      <c r="D217" s="91"/>
      <c r="E217" s="91"/>
      <c r="F217" s="91"/>
      <c r="G217" s="91"/>
      <c r="H217" s="91"/>
      <c r="I217" s="91"/>
      <c r="J217" s="91"/>
      <c r="K217" s="91"/>
      <c r="L217" s="91"/>
      <c r="M217" s="91"/>
      <c r="N217" s="91"/>
      <c r="O217" s="92"/>
      <c r="P217" s="92"/>
      <c r="Q217" s="92"/>
      <c r="R217" s="92"/>
      <c r="S217" s="92"/>
      <c r="T217" s="92"/>
      <c r="U217" s="92"/>
      <c r="V217" s="92"/>
      <c r="W217" s="92"/>
      <c r="X217" s="92"/>
      <c r="Y217" s="92"/>
      <c r="Z217" s="92"/>
      <c r="AA217" s="90"/>
    </row>
    <row r="218" spans="1:27" x14ac:dyDescent="0.35">
      <c r="A218" s="1"/>
      <c r="B218" s="91"/>
      <c r="C218" s="91"/>
      <c r="D218" s="91"/>
      <c r="E218" s="91"/>
      <c r="F218" s="91"/>
      <c r="G218" s="91"/>
      <c r="H218" s="91"/>
      <c r="I218" s="91"/>
      <c r="J218" s="91"/>
      <c r="K218" s="91"/>
      <c r="L218" s="91"/>
      <c r="M218" s="91"/>
      <c r="N218" s="91"/>
      <c r="O218" s="92"/>
      <c r="P218" s="92"/>
      <c r="Q218" s="92"/>
      <c r="R218" s="92"/>
      <c r="S218" s="92"/>
      <c r="T218" s="92"/>
      <c r="U218" s="92"/>
      <c r="V218" s="92"/>
      <c r="W218" s="92"/>
      <c r="X218" s="92"/>
      <c r="Y218" s="92"/>
      <c r="Z218" s="92"/>
      <c r="AA218" s="90"/>
    </row>
    <row r="219" spans="1:27" x14ac:dyDescent="0.35">
      <c r="A219" s="1"/>
      <c r="B219" s="91"/>
      <c r="C219" s="91"/>
      <c r="D219" s="91"/>
      <c r="E219" s="91"/>
      <c r="F219" s="91"/>
      <c r="G219" s="91"/>
      <c r="H219" s="91"/>
      <c r="I219" s="91"/>
      <c r="J219" s="91"/>
      <c r="K219" s="91"/>
      <c r="L219" s="91"/>
      <c r="M219" s="91"/>
      <c r="N219" s="91"/>
      <c r="O219" s="92"/>
      <c r="P219" s="92"/>
      <c r="Q219" s="92"/>
      <c r="R219" s="92"/>
      <c r="S219" s="92"/>
      <c r="T219" s="92"/>
      <c r="U219" s="92"/>
      <c r="V219" s="92"/>
      <c r="W219" s="92"/>
      <c r="X219" s="92"/>
      <c r="Y219" s="92"/>
      <c r="Z219" s="92"/>
      <c r="AA219" s="90"/>
    </row>
    <row r="220" spans="1:27" x14ac:dyDescent="0.35">
      <c r="A220" s="1"/>
      <c r="B220" s="91"/>
      <c r="C220" s="91"/>
      <c r="D220" s="91"/>
      <c r="E220" s="91"/>
      <c r="F220" s="91"/>
      <c r="G220" s="91"/>
      <c r="H220" s="91"/>
      <c r="I220" s="91"/>
      <c r="J220" s="91"/>
      <c r="K220" s="91"/>
      <c r="L220" s="91"/>
      <c r="M220" s="91"/>
      <c r="N220" s="91"/>
      <c r="O220" s="92"/>
      <c r="P220" s="92"/>
      <c r="Q220" s="92"/>
      <c r="R220" s="92"/>
      <c r="S220" s="92"/>
      <c r="T220" s="92"/>
      <c r="U220" s="92"/>
      <c r="V220" s="92"/>
      <c r="W220" s="92"/>
      <c r="X220" s="92"/>
      <c r="Y220" s="92"/>
      <c r="Z220" s="92"/>
      <c r="AA220" s="90"/>
    </row>
    <row r="221" spans="1:27" x14ac:dyDescent="0.35">
      <c r="A221" s="1"/>
      <c r="B221" s="91"/>
      <c r="C221" s="91"/>
      <c r="D221" s="91"/>
      <c r="E221" s="91"/>
      <c r="F221" s="91"/>
      <c r="G221" s="91"/>
      <c r="H221" s="91"/>
      <c r="I221" s="91"/>
      <c r="J221" s="91"/>
      <c r="K221" s="91"/>
      <c r="L221" s="91"/>
      <c r="M221" s="91"/>
      <c r="N221" s="91"/>
      <c r="O221" s="92"/>
      <c r="P221" s="92"/>
      <c r="Q221" s="92"/>
      <c r="R221" s="92"/>
      <c r="S221" s="92"/>
      <c r="T221" s="92"/>
      <c r="U221" s="92"/>
      <c r="V221" s="92"/>
      <c r="W221" s="92"/>
      <c r="X221" s="92"/>
      <c r="Y221" s="92"/>
      <c r="Z221" s="92"/>
      <c r="AA221" s="90"/>
    </row>
    <row r="222" spans="1:27" x14ac:dyDescent="0.35">
      <c r="A222" s="1"/>
      <c r="B222" s="91"/>
      <c r="C222" s="91"/>
      <c r="D222" s="91"/>
      <c r="E222" s="91"/>
      <c r="F222" s="91"/>
      <c r="G222" s="91"/>
      <c r="H222" s="91"/>
      <c r="I222" s="91"/>
      <c r="J222" s="91"/>
      <c r="K222" s="91"/>
      <c r="L222" s="91"/>
      <c r="M222" s="91"/>
      <c r="N222" s="91"/>
      <c r="O222" s="92"/>
      <c r="P222" s="92"/>
      <c r="Q222" s="92"/>
      <c r="R222" s="92"/>
      <c r="S222" s="92"/>
      <c r="T222" s="92"/>
      <c r="U222" s="92"/>
      <c r="V222" s="92"/>
      <c r="W222" s="92"/>
      <c r="X222" s="92"/>
      <c r="Y222" s="92"/>
      <c r="Z222" s="92"/>
      <c r="AA222" s="90"/>
    </row>
    <row r="223" spans="1:27" x14ac:dyDescent="0.35">
      <c r="A223" s="1"/>
      <c r="B223" s="91"/>
      <c r="C223" s="91"/>
      <c r="D223" s="91"/>
      <c r="E223" s="91"/>
      <c r="F223" s="91"/>
      <c r="G223" s="91"/>
      <c r="H223" s="91"/>
      <c r="I223" s="91"/>
      <c r="J223" s="91"/>
      <c r="K223" s="91"/>
      <c r="L223" s="91"/>
      <c r="M223" s="91"/>
      <c r="N223" s="91"/>
      <c r="O223" s="92"/>
      <c r="P223" s="92"/>
      <c r="Q223" s="92"/>
      <c r="R223" s="92"/>
      <c r="S223" s="92"/>
      <c r="T223" s="92"/>
      <c r="U223" s="92"/>
      <c r="V223" s="92"/>
      <c r="W223" s="92"/>
      <c r="X223" s="92"/>
      <c r="Y223" s="92"/>
      <c r="Z223" s="92"/>
      <c r="AA223" s="90"/>
    </row>
    <row r="224" spans="1:27" x14ac:dyDescent="0.35">
      <c r="A224" s="1"/>
      <c r="B224" s="91"/>
      <c r="C224" s="91"/>
      <c r="D224" s="91"/>
      <c r="E224" s="91"/>
      <c r="F224" s="91"/>
      <c r="G224" s="91"/>
      <c r="H224" s="91"/>
      <c r="I224" s="91"/>
      <c r="J224" s="91"/>
      <c r="K224" s="91"/>
      <c r="L224" s="91"/>
      <c r="M224" s="91"/>
      <c r="N224" s="91"/>
      <c r="O224" s="92"/>
      <c r="P224" s="92"/>
      <c r="Q224" s="92"/>
      <c r="R224" s="92"/>
      <c r="S224" s="92"/>
      <c r="T224" s="92"/>
      <c r="U224" s="92"/>
      <c r="V224" s="92"/>
      <c r="W224" s="92"/>
      <c r="X224" s="92"/>
      <c r="Y224" s="92"/>
      <c r="Z224" s="92"/>
      <c r="AA224" s="90"/>
    </row>
    <row r="225" spans="1:27" x14ac:dyDescent="0.35">
      <c r="A225" s="1"/>
      <c r="B225" s="91"/>
      <c r="C225" s="91"/>
      <c r="D225" s="91"/>
      <c r="E225" s="91"/>
      <c r="F225" s="91"/>
      <c r="G225" s="91"/>
      <c r="H225" s="91"/>
      <c r="I225" s="91"/>
      <c r="J225" s="91"/>
      <c r="K225" s="91"/>
      <c r="L225" s="91"/>
      <c r="M225" s="91"/>
      <c r="N225" s="91"/>
      <c r="O225" s="92"/>
      <c r="P225" s="92"/>
      <c r="Q225" s="92"/>
      <c r="R225" s="92"/>
      <c r="S225" s="92"/>
      <c r="T225" s="92"/>
      <c r="U225" s="92"/>
      <c r="V225" s="92"/>
      <c r="W225" s="92"/>
      <c r="X225" s="92"/>
      <c r="Y225" s="92"/>
      <c r="Z225" s="92"/>
      <c r="AA225" s="90"/>
    </row>
    <row r="226" spans="1:27" x14ac:dyDescent="0.35">
      <c r="A226" s="1"/>
      <c r="B226" s="91"/>
      <c r="C226" s="91"/>
      <c r="D226" s="91"/>
      <c r="E226" s="91"/>
      <c r="F226" s="91"/>
      <c r="G226" s="91"/>
      <c r="H226" s="91"/>
      <c r="I226" s="91"/>
      <c r="J226" s="91"/>
      <c r="K226" s="91"/>
      <c r="L226" s="91"/>
      <c r="M226" s="91"/>
      <c r="N226" s="91"/>
      <c r="O226" s="92"/>
      <c r="P226" s="92"/>
      <c r="Q226" s="92"/>
      <c r="R226" s="92"/>
      <c r="S226" s="92"/>
      <c r="T226" s="92"/>
      <c r="U226" s="92"/>
      <c r="V226" s="92"/>
      <c r="W226" s="92"/>
      <c r="X226" s="92"/>
      <c r="Y226" s="92"/>
      <c r="Z226" s="92"/>
      <c r="AA226" s="90"/>
    </row>
    <row r="227" spans="1:27" x14ac:dyDescent="0.35">
      <c r="A227" s="1"/>
      <c r="B227" s="91"/>
      <c r="C227" s="91"/>
      <c r="D227" s="91"/>
      <c r="E227" s="91"/>
      <c r="F227" s="91"/>
      <c r="G227" s="91"/>
      <c r="H227" s="91"/>
      <c r="I227" s="91"/>
      <c r="J227" s="91"/>
      <c r="K227" s="91"/>
      <c r="L227" s="91"/>
      <c r="M227" s="91"/>
      <c r="N227" s="91"/>
      <c r="O227" s="92"/>
      <c r="P227" s="92"/>
      <c r="Q227" s="92"/>
      <c r="R227" s="92"/>
      <c r="S227" s="92"/>
      <c r="T227" s="92"/>
      <c r="U227" s="92"/>
      <c r="V227" s="92"/>
      <c r="W227" s="92"/>
      <c r="X227" s="92"/>
      <c r="Y227" s="92"/>
      <c r="Z227" s="92"/>
      <c r="AA227" s="90"/>
    </row>
    <row r="228" spans="1:27" x14ac:dyDescent="0.35">
      <c r="A228" s="1"/>
      <c r="B228" s="91"/>
      <c r="C228" s="91"/>
      <c r="D228" s="91"/>
      <c r="E228" s="91"/>
      <c r="F228" s="91"/>
      <c r="G228" s="91"/>
      <c r="H228" s="91"/>
      <c r="I228" s="91"/>
      <c r="J228" s="91"/>
      <c r="K228" s="91"/>
      <c r="L228" s="91"/>
      <c r="M228" s="91"/>
      <c r="N228" s="91"/>
      <c r="O228" s="92"/>
      <c r="P228" s="92"/>
      <c r="Q228" s="92"/>
      <c r="R228" s="92"/>
      <c r="S228" s="92"/>
      <c r="T228" s="92"/>
      <c r="U228" s="92"/>
      <c r="V228" s="92"/>
      <c r="W228" s="92"/>
      <c r="X228" s="92"/>
      <c r="Y228" s="92"/>
      <c r="Z228" s="92"/>
      <c r="AA228" s="90"/>
    </row>
    <row r="229" spans="1:27" x14ac:dyDescent="0.35">
      <c r="A229" s="1"/>
      <c r="B229" s="91"/>
      <c r="C229" s="91"/>
      <c r="D229" s="91"/>
      <c r="E229" s="91"/>
      <c r="F229" s="91"/>
      <c r="G229" s="91"/>
      <c r="H229" s="91"/>
      <c r="I229" s="91"/>
      <c r="J229" s="91"/>
      <c r="K229" s="91"/>
      <c r="L229" s="91"/>
      <c r="M229" s="91"/>
      <c r="N229" s="91"/>
      <c r="O229" s="92"/>
      <c r="P229" s="92"/>
      <c r="Q229" s="92"/>
      <c r="R229" s="92"/>
      <c r="S229" s="92"/>
      <c r="T229" s="92"/>
      <c r="U229" s="92"/>
      <c r="V229" s="92"/>
      <c r="W229" s="92"/>
      <c r="X229" s="92"/>
      <c r="Y229" s="92"/>
      <c r="Z229" s="92"/>
      <c r="AA229" s="90"/>
    </row>
    <row r="230" spans="1:27" x14ac:dyDescent="0.35">
      <c r="A230" s="1"/>
      <c r="B230" s="91"/>
      <c r="C230" s="91"/>
      <c r="D230" s="91"/>
      <c r="E230" s="91"/>
      <c r="F230" s="91"/>
      <c r="G230" s="91"/>
      <c r="H230" s="91"/>
      <c r="I230" s="91"/>
      <c r="J230" s="91"/>
      <c r="K230" s="91"/>
      <c r="L230" s="91"/>
      <c r="M230" s="91"/>
      <c r="N230" s="91"/>
      <c r="O230" s="92"/>
      <c r="P230" s="92"/>
      <c r="Q230" s="92"/>
      <c r="R230" s="92"/>
      <c r="S230" s="92"/>
      <c r="T230" s="92"/>
      <c r="U230" s="92"/>
      <c r="V230" s="92"/>
      <c r="W230" s="92"/>
      <c r="X230" s="92"/>
      <c r="Y230" s="92"/>
      <c r="Z230" s="92"/>
      <c r="AA230" s="90"/>
    </row>
    <row r="231" spans="1:27" x14ac:dyDescent="0.35">
      <c r="A231" s="1"/>
      <c r="B231" s="91"/>
      <c r="C231" s="91"/>
      <c r="D231" s="91"/>
      <c r="E231" s="91"/>
      <c r="F231" s="91"/>
      <c r="G231" s="91"/>
      <c r="H231" s="91"/>
      <c r="I231" s="91"/>
      <c r="J231" s="91"/>
      <c r="K231" s="91"/>
      <c r="L231" s="91"/>
      <c r="M231" s="91"/>
      <c r="N231" s="91"/>
      <c r="O231" s="92"/>
      <c r="P231" s="92"/>
      <c r="Q231" s="92"/>
      <c r="R231" s="92"/>
      <c r="S231" s="92"/>
      <c r="T231" s="92"/>
      <c r="U231" s="92"/>
      <c r="V231" s="92"/>
      <c r="W231" s="92"/>
      <c r="X231" s="92"/>
      <c r="Y231" s="92"/>
      <c r="Z231" s="92"/>
      <c r="AA231" s="90"/>
    </row>
    <row r="232" spans="1:27" x14ac:dyDescent="0.35">
      <c r="A232" s="1"/>
      <c r="B232" s="91"/>
      <c r="C232" s="91"/>
      <c r="D232" s="91"/>
      <c r="E232" s="91"/>
      <c r="F232" s="91"/>
      <c r="G232" s="91"/>
      <c r="H232" s="91"/>
      <c r="I232" s="91"/>
      <c r="J232" s="91"/>
      <c r="K232" s="91"/>
      <c r="L232" s="91"/>
      <c r="M232" s="91"/>
      <c r="N232" s="91"/>
      <c r="O232" s="92"/>
      <c r="P232" s="92"/>
      <c r="Q232" s="92"/>
      <c r="R232" s="92"/>
      <c r="S232" s="92"/>
      <c r="T232" s="92"/>
      <c r="U232" s="92"/>
      <c r="V232" s="92"/>
      <c r="W232" s="92"/>
      <c r="X232" s="92"/>
      <c r="Y232" s="92"/>
      <c r="Z232" s="92"/>
      <c r="AA232" s="90"/>
    </row>
    <row r="233" spans="1:27" x14ac:dyDescent="0.35">
      <c r="A233" s="1"/>
      <c r="B233" s="91"/>
      <c r="C233" s="91"/>
      <c r="D233" s="91"/>
      <c r="E233" s="91"/>
      <c r="F233" s="91"/>
      <c r="G233" s="91"/>
      <c r="H233" s="91"/>
      <c r="I233" s="91"/>
      <c r="J233" s="91"/>
      <c r="K233" s="91"/>
      <c r="L233" s="91"/>
      <c r="M233" s="91"/>
      <c r="N233" s="91"/>
      <c r="O233" s="92"/>
      <c r="P233" s="92"/>
      <c r="Q233" s="92"/>
      <c r="R233" s="92"/>
      <c r="S233" s="92"/>
      <c r="T233" s="92"/>
      <c r="U233" s="92"/>
      <c r="V233" s="92"/>
      <c r="W233" s="92"/>
      <c r="X233" s="92"/>
      <c r="Y233" s="92"/>
      <c r="Z233" s="92"/>
      <c r="AA233" s="90"/>
    </row>
    <row r="234" spans="1:27" x14ac:dyDescent="0.35">
      <c r="A234" s="1"/>
      <c r="B234" s="91"/>
      <c r="C234" s="91"/>
      <c r="D234" s="91"/>
      <c r="E234" s="91"/>
      <c r="F234" s="91"/>
      <c r="G234" s="91"/>
      <c r="H234" s="91"/>
      <c r="I234" s="91"/>
      <c r="J234" s="91"/>
      <c r="K234" s="91"/>
      <c r="L234" s="91"/>
      <c r="M234" s="91"/>
      <c r="N234" s="91"/>
      <c r="O234" s="92"/>
      <c r="P234" s="92"/>
      <c r="Q234" s="92"/>
      <c r="R234" s="92"/>
      <c r="S234" s="92"/>
      <c r="T234" s="92"/>
      <c r="U234" s="92"/>
      <c r="V234" s="92"/>
      <c r="W234" s="92"/>
      <c r="X234" s="92"/>
      <c r="Y234" s="92"/>
      <c r="Z234" s="92"/>
      <c r="AA234" s="90"/>
    </row>
    <row r="235" spans="1:27" x14ac:dyDescent="0.35">
      <c r="A235" s="1"/>
      <c r="B235" s="91"/>
      <c r="C235" s="91"/>
      <c r="D235" s="91"/>
      <c r="E235" s="91"/>
      <c r="F235" s="91"/>
      <c r="G235" s="91"/>
      <c r="H235" s="91"/>
      <c r="I235" s="91"/>
      <c r="J235" s="91"/>
      <c r="K235" s="91"/>
      <c r="L235" s="91"/>
      <c r="M235" s="91"/>
      <c r="N235" s="91"/>
      <c r="O235" s="92"/>
      <c r="P235" s="92"/>
      <c r="Q235" s="92"/>
      <c r="R235" s="92"/>
      <c r="S235" s="92"/>
      <c r="T235" s="92"/>
      <c r="U235" s="92"/>
      <c r="V235" s="92"/>
      <c r="W235" s="92"/>
      <c r="X235" s="92"/>
      <c r="Y235" s="92"/>
      <c r="Z235" s="92"/>
      <c r="AA235" s="90"/>
    </row>
    <row r="236" spans="1:27" x14ac:dyDescent="0.35">
      <c r="A236" s="1"/>
      <c r="B236" s="91"/>
      <c r="C236" s="91"/>
      <c r="D236" s="91"/>
      <c r="E236" s="91"/>
      <c r="F236" s="91"/>
      <c r="G236" s="91"/>
      <c r="H236" s="91"/>
      <c r="I236" s="91"/>
      <c r="J236" s="91"/>
      <c r="K236" s="91"/>
      <c r="L236" s="91"/>
      <c r="M236" s="91"/>
      <c r="N236" s="91"/>
      <c r="O236" s="92"/>
      <c r="P236" s="92"/>
      <c r="Q236" s="92"/>
      <c r="R236" s="92"/>
      <c r="S236" s="92"/>
      <c r="T236" s="92"/>
      <c r="U236" s="92"/>
      <c r="V236" s="92"/>
      <c r="W236" s="92"/>
      <c r="X236" s="92"/>
      <c r="Y236" s="92"/>
      <c r="Z236" s="92"/>
      <c r="AA236" s="90"/>
    </row>
    <row r="237" spans="1:27" x14ac:dyDescent="0.35">
      <c r="A237" s="1"/>
      <c r="B237" s="91"/>
      <c r="C237" s="91"/>
      <c r="D237" s="91"/>
      <c r="E237" s="91"/>
      <c r="F237" s="91"/>
      <c r="G237" s="91"/>
      <c r="H237" s="91"/>
      <c r="I237" s="91"/>
      <c r="J237" s="91"/>
      <c r="K237" s="91"/>
      <c r="L237" s="91"/>
      <c r="M237" s="91"/>
      <c r="N237" s="91"/>
      <c r="O237" s="92"/>
      <c r="P237" s="92"/>
      <c r="Q237" s="92"/>
      <c r="R237" s="92"/>
      <c r="S237" s="92"/>
      <c r="T237" s="92"/>
      <c r="U237" s="92"/>
      <c r="V237" s="92"/>
      <c r="W237" s="92"/>
      <c r="X237" s="92"/>
      <c r="Y237" s="92"/>
      <c r="Z237" s="92"/>
      <c r="AA237" s="90"/>
    </row>
    <row r="238" spans="1:27" x14ac:dyDescent="0.35">
      <c r="A238" s="1"/>
      <c r="B238" s="91"/>
      <c r="C238" s="91"/>
      <c r="D238" s="91"/>
      <c r="E238" s="91"/>
      <c r="F238" s="91"/>
      <c r="G238" s="91"/>
      <c r="H238" s="91"/>
      <c r="I238" s="91"/>
      <c r="J238" s="91"/>
      <c r="K238" s="91"/>
      <c r="L238" s="91"/>
      <c r="M238" s="91"/>
      <c r="N238" s="91"/>
      <c r="O238" s="92"/>
      <c r="P238" s="92"/>
      <c r="Q238" s="92"/>
      <c r="R238" s="92"/>
      <c r="S238" s="92"/>
      <c r="T238" s="92"/>
      <c r="U238" s="92"/>
      <c r="V238" s="92"/>
      <c r="W238" s="92"/>
      <c r="X238" s="92"/>
      <c r="Y238" s="92"/>
      <c r="Z238" s="92"/>
      <c r="AA238" s="90"/>
    </row>
    <row r="239" spans="1:27" x14ac:dyDescent="0.35">
      <c r="A239" s="1"/>
      <c r="B239" s="91"/>
      <c r="C239" s="91"/>
      <c r="D239" s="91"/>
      <c r="E239" s="91"/>
      <c r="F239" s="91"/>
      <c r="G239" s="91"/>
      <c r="H239" s="91"/>
      <c r="I239" s="91"/>
      <c r="J239" s="91"/>
      <c r="K239" s="91"/>
      <c r="L239" s="91"/>
      <c r="M239" s="91"/>
      <c r="N239" s="91"/>
      <c r="O239" s="92"/>
      <c r="P239" s="92"/>
      <c r="Q239" s="92"/>
      <c r="R239" s="92"/>
      <c r="S239" s="92"/>
      <c r="T239" s="92"/>
      <c r="U239" s="92"/>
      <c r="V239" s="92"/>
      <c r="W239" s="92"/>
      <c r="X239" s="92"/>
      <c r="Y239" s="92"/>
      <c r="Z239" s="92"/>
      <c r="AA239" s="90"/>
    </row>
    <row r="240" spans="1:27" x14ac:dyDescent="0.35">
      <c r="A240" s="1"/>
      <c r="B240" s="91"/>
      <c r="C240" s="91"/>
      <c r="D240" s="91"/>
      <c r="E240" s="91"/>
      <c r="F240" s="91"/>
      <c r="G240" s="91"/>
      <c r="H240" s="91"/>
      <c r="I240" s="91"/>
      <c r="J240" s="91"/>
      <c r="K240" s="91"/>
      <c r="L240" s="91"/>
      <c r="M240" s="91"/>
      <c r="N240" s="91"/>
      <c r="O240" s="92"/>
      <c r="P240" s="92"/>
      <c r="Q240" s="92"/>
      <c r="R240" s="92"/>
      <c r="S240" s="92"/>
      <c r="T240" s="92"/>
      <c r="U240" s="92"/>
      <c r="V240" s="92"/>
      <c r="W240" s="92"/>
      <c r="X240" s="92"/>
      <c r="Y240" s="92"/>
      <c r="Z240" s="92"/>
      <c r="AA240" s="90"/>
    </row>
    <row r="241" spans="1:27" x14ac:dyDescent="0.35">
      <c r="A241" s="1"/>
      <c r="B241" s="91"/>
      <c r="C241" s="91"/>
      <c r="D241" s="91"/>
      <c r="E241" s="91"/>
      <c r="F241" s="91"/>
      <c r="G241" s="91"/>
      <c r="H241" s="91"/>
      <c r="I241" s="91"/>
      <c r="J241" s="91"/>
      <c r="K241" s="91"/>
      <c r="L241" s="91"/>
      <c r="M241" s="91"/>
      <c r="N241" s="91"/>
      <c r="O241" s="92"/>
      <c r="P241" s="92"/>
      <c r="Q241" s="92"/>
      <c r="R241" s="92"/>
      <c r="S241" s="92"/>
      <c r="T241" s="92"/>
      <c r="U241" s="92"/>
      <c r="V241" s="92"/>
      <c r="W241" s="92"/>
      <c r="X241" s="92"/>
      <c r="Y241" s="92"/>
      <c r="Z241" s="92"/>
      <c r="AA241" s="90"/>
    </row>
    <row r="242" spans="1:27" x14ac:dyDescent="0.35">
      <c r="A242" s="1"/>
      <c r="B242" s="91"/>
      <c r="C242" s="91"/>
      <c r="D242" s="91"/>
      <c r="E242" s="91"/>
      <c r="F242" s="91"/>
      <c r="G242" s="91"/>
      <c r="H242" s="91"/>
      <c r="I242" s="91"/>
      <c r="J242" s="91"/>
      <c r="K242" s="91"/>
      <c r="L242" s="91"/>
      <c r="M242" s="91"/>
      <c r="N242" s="91"/>
      <c r="O242" s="92"/>
      <c r="P242" s="92"/>
      <c r="Q242" s="92"/>
      <c r="R242" s="92"/>
      <c r="S242" s="92"/>
      <c r="T242" s="92"/>
      <c r="U242" s="92"/>
      <c r="V242" s="92"/>
      <c r="W242" s="92"/>
      <c r="X242" s="92"/>
      <c r="Y242" s="92"/>
      <c r="Z242" s="92"/>
      <c r="AA242" s="90"/>
    </row>
    <row r="243" spans="1:27" x14ac:dyDescent="0.35">
      <c r="A243" s="1"/>
      <c r="B243" s="91"/>
      <c r="C243" s="91"/>
      <c r="D243" s="91"/>
      <c r="E243" s="91"/>
      <c r="F243" s="91"/>
      <c r="G243" s="91"/>
      <c r="H243" s="91"/>
      <c r="I243" s="91"/>
      <c r="J243" s="91"/>
      <c r="K243" s="91"/>
      <c r="L243" s="91"/>
      <c r="M243" s="91"/>
      <c r="N243" s="91"/>
      <c r="O243" s="92"/>
      <c r="P243" s="92"/>
      <c r="Q243" s="92"/>
      <c r="R243" s="92"/>
      <c r="S243" s="92"/>
      <c r="T243" s="92"/>
      <c r="U243" s="92"/>
      <c r="V243" s="92"/>
      <c r="W243" s="92"/>
      <c r="X243" s="92"/>
      <c r="Y243" s="92"/>
      <c r="Z243" s="92"/>
      <c r="AA243" s="90"/>
    </row>
    <row r="244" spans="1:27" x14ac:dyDescent="0.35">
      <c r="A244" s="1"/>
      <c r="B244" s="91"/>
      <c r="C244" s="91"/>
      <c r="D244" s="91"/>
      <c r="E244" s="91"/>
      <c r="F244" s="91"/>
      <c r="G244" s="91"/>
      <c r="H244" s="91"/>
      <c r="I244" s="91"/>
      <c r="J244" s="91"/>
      <c r="K244" s="91"/>
      <c r="L244" s="91"/>
      <c r="M244" s="91"/>
      <c r="N244" s="91"/>
      <c r="O244" s="92"/>
      <c r="P244" s="92"/>
      <c r="Q244" s="92"/>
      <c r="R244" s="92"/>
      <c r="S244" s="92"/>
      <c r="T244" s="92"/>
      <c r="U244" s="92"/>
      <c r="V244" s="92"/>
      <c r="W244" s="92"/>
      <c r="X244" s="92"/>
      <c r="Y244" s="92"/>
      <c r="Z244" s="92"/>
      <c r="AA244" s="90"/>
    </row>
    <row r="245" spans="1:27" x14ac:dyDescent="0.35">
      <c r="A245" s="1"/>
      <c r="B245" s="91"/>
      <c r="C245" s="91"/>
      <c r="D245" s="91"/>
      <c r="E245" s="91"/>
      <c r="F245" s="91"/>
      <c r="G245" s="91"/>
      <c r="H245" s="91"/>
      <c r="I245" s="91"/>
      <c r="J245" s="91"/>
      <c r="K245" s="91"/>
      <c r="L245" s="91"/>
      <c r="M245" s="91"/>
      <c r="N245" s="91"/>
      <c r="O245" s="92"/>
      <c r="P245" s="92"/>
      <c r="Q245" s="92"/>
      <c r="R245" s="92"/>
      <c r="S245" s="92"/>
      <c r="T245" s="92"/>
      <c r="U245" s="92"/>
      <c r="V245" s="92"/>
      <c r="W245" s="92"/>
      <c r="X245" s="92"/>
      <c r="Y245" s="92"/>
      <c r="Z245" s="92"/>
      <c r="AA245" s="90"/>
    </row>
    <row r="246" spans="1:27" x14ac:dyDescent="0.35">
      <c r="A246" s="1"/>
      <c r="B246" s="91"/>
      <c r="C246" s="91"/>
      <c r="D246" s="91"/>
      <c r="E246" s="91"/>
      <c r="F246" s="91"/>
      <c r="G246" s="91"/>
      <c r="H246" s="91"/>
      <c r="I246" s="91"/>
      <c r="J246" s="91"/>
      <c r="K246" s="91"/>
      <c r="L246" s="91"/>
      <c r="M246" s="91"/>
      <c r="N246" s="91"/>
      <c r="O246" s="92"/>
      <c r="P246" s="92"/>
      <c r="Q246" s="92"/>
      <c r="R246" s="92"/>
      <c r="S246" s="92"/>
      <c r="T246" s="92"/>
      <c r="U246" s="92"/>
      <c r="V246" s="92"/>
      <c r="W246" s="92"/>
      <c r="X246" s="92"/>
      <c r="Y246" s="92"/>
      <c r="Z246" s="92"/>
      <c r="AA246" s="90"/>
    </row>
    <row r="247" spans="1:27" x14ac:dyDescent="0.35">
      <c r="A247" s="1"/>
      <c r="B247" s="91"/>
      <c r="C247" s="91"/>
      <c r="D247" s="91"/>
      <c r="E247" s="91"/>
      <c r="F247" s="91"/>
      <c r="G247" s="91"/>
      <c r="H247" s="91"/>
      <c r="I247" s="91"/>
      <c r="J247" s="91"/>
      <c r="K247" s="91"/>
      <c r="L247" s="91"/>
      <c r="M247" s="91"/>
      <c r="N247" s="91"/>
      <c r="O247" s="92"/>
      <c r="P247" s="92"/>
      <c r="Q247" s="92"/>
      <c r="R247" s="92"/>
      <c r="S247" s="92"/>
      <c r="T247" s="92"/>
      <c r="U247" s="92"/>
      <c r="V247" s="92"/>
      <c r="W247" s="92"/>
      <c r="X247" s="92"/>
      <c r="Y247" s="92"/>
      <c r="Z247" s="92"/>
      <c r="AA247" s="90"/>
    </row>
    <row r="248" spans="1:27" x14ac:dyDescent="0.35">
      <c r="A248" s="1"/>
      <c r="B248" s="91"/>
      <c r="C248" s="91"/>
      <c r="D248" s="91"/>
      <c r="E248" s="91"/>
      <c r="F248" s="91"/>
      <c r="G248" s="91"/>
      <c r="H248" s="91"/>
      <c r="I248" s="91"/>
      <c r="J248" s="91"/>
      <c r="K248" s="91"/>
      <c r="L248" s="91"/>
      <c r="M248" s="91"/>
      <c r="N248" s="91"/>
      <c r="O248" s="92"/>
      <c r="P248" s="92"/>
      <c r="Q248" s="92"/>
      <c r="R248" s="92"/>
      <c r="S248" s="92"/>
      <c r="T248" s="92"/>
      <c r="U248" s="92"/>
      <c r="V248" s="92"/>
      <c r="W248" s="92"/>
      <c r="X248" s="92"/>
      <c r="Y248" s="92"/>
      <c r="Z248" s="92"/>
      <c r="AA248" s="90"/>
    </row>
    <row r="249" spans="1:27" x14ac:dyDescent="0.35">
      <c r="A249" s="1"/>
      <c r="B249" s="91"/>
      <c r="C249" s="91"/>
      <c r="D249" s="91"/>
      <c r="E249" s="91"/>
      <c r="F249" s="91"/>
      <c r="G249" s="91"/>
      <c r="H249" s="91"/>
      <c r="I249" s="91"/>
      <c r="J249" s="91"/>
      <c r="K249" s="91"/>
      <c r="L249" s="91"/>
      <c r="M249" s="91"/>
      <c r="N249" s="91"/>
      <c r="O249" s="92"/>
      <c r="P249" s="92"/>
      <c r="Q249" s="92"/>
      <c r="R249" s="92"/>
      <c r="S249" s="92"/>
      <c r="T249" s="92"/>
      <c r="U249" s="92"/>
      <c r="V249" s="92"/>
      <c r="W249" s="92"/>
      <c r="X249" s="92"/>
      <c r="Y249" s="92"/>
      <c r="Z249" s="92"/>
      <c r="AA249" s="90"/>
    </row>
    <row r="250" spans="1:27" x14ac:dyDescent="0.35">
      <c r="A250" s="1"/>
      <c r="B250" s="91"/>
      <c r="C250" s="91"/>
      <c r="D250" s="91"/>
      <c r="E250" s="91"/>
      <c r="F250" s="91"/>
      <c r="G250" s="91"/>
      <c r="H250" s="91"/>
      <c r="I250" s="91"/>
      <c r="J250" s="91"/>
      <c r="K250" s="91"/>
      <c r="L250" s="91"/>
      <c r="M250" s="91"/>
      <c r="N250" s="91"/>
      <c r="O250" s="92"/>
      <c r="P250" s="92"/>
      <c r="Q250" s="92"/>
      <c r="R250" s="92"/>
      <c r="S250" s="92"/>
      <c r="T250" s="92"/>
      <c r="U250" s="92"/>
      <c r="V250" s="92"/>
      <c r="W250" s="92"/>
      <c r="X250" s="92"/>
      <c r="Y250" s="92"/>
      <c r="Z250" s="92"/>
      <c r="AA250" s="90"/>
    </row>
    <row r="251" spans="1:27" x14ac:dyDescent="0.35">
      <c r="A251" s="1"/>
      <c r="B251" s="91"/>
      <c r="C251" s="91"/>
      <c r="D251" s="91"/>
      <c r="E251" s="91"/>
      <c r="F251" s="91"/>
      <c r="G251" s="91"/>
      <c r="H251" s="91"/>
      <c r="I251" s="91"/>
      <c r="J251" s="91"/>
      <c r="K251" s="91"/>
      <c r="L251" s="91"/>
      <c r="M251" s="91"/>
      <c r="N251" s="91"/>
      <c r="O251" s="92"/>
      <c r="P251" s="92"/>
      <c r="Q251" s="92"/>
      <c r="R251" s="92"/>
      <c r="S251" s="92"/>
      <c r="T251" s="92"/>
      <c r="U251" s="92"/>
      <c r="V251" s="92"/>
      <c r="W251" s="92"/>
      <c r="X251" s="92"/>
      <c r="Y251" s="92"/>
      <c r="Z251" s="92"/>
      <c r="AA251" s="90"/>
    </row>
    <row r="252" spans="1:27" x14ac:dyDescent="0.35">
      <c r="A252" s="1"/>
      <c r="B252" s="91"/>
      <c r="C252" s="91"/>
      <c r="D252" s="91"/>
      <c r="E252" s="91"/>
      <c r="F252" s="91"/>
      <c r="G252" s="91"/>
      <c r="H252" s="91"/>
      <c r="I252" s="91"/>
      <c r="J252" s="91"/>
      <c r="K252" s="91"/>
      <c r="L252" s="91"/>
      <c r="M252" s="91"/>
      <c r="N252" s="91"/>
      <c r="O252" s="92"/>
      <c r="P252" s="92"/>
      <c r="Q252" s="92"/>
      <c r="R252" s="92"/>
      <c r="S252" s="92"/>
      <c r="T252" s="92"/>
      <c r="U252" s="92"/>
      <c r="V252" s="92"/>
      <c r="W252" s="92"/>
      <c r="X252" s="92"/>
      <c r="Y252" s="92"/>
      <c r="Z252" s="92"/>
      <c r="AA252" s="90"/>
    </row>
    <row r="253" spans="1:27" x14ac:dyDescent="0.35">
      <c r="A253" s="1"/>
      <c r="B253" s="91"/>
      <c r="C253" s="91"/>
      <c r="D253" s="91"/>
      <c r="E253" s="91"/>
      <c r="F253" s="91"/>
      <c r="G253" s="91"/>
      <c r="H253" s="91"/>
      <c r="I253" s="91"/>
      <c r="J253" s="91"/>
      <c r="K253" s="91"/>
      <c r="L253" s="91"/>
      <c r="M253" s="91"/>
      <c r="N253" s="91"/>
      <c r="O253" s="92"/>
      <c r="P253" s="92"/>
      <c r="Q253" s="92"/>
      <c r="R253" s="92"/>
      <c r="S253" s="92"/>
      <c r="T253" s="92"/>
      <c r="U253" s="92"/>
      <c r="V253" s="92"/>
      <c r="W253" s="92"/>
      <c r="X253" s="92"/>
      <c r="Y253" s="92"/>
      <c r="Z253" s="92"/>
      <c r="AA253" s="90"/>
    </row>
    <row r="254" spans="1:27" x14ac:dyDescent="0.35">
      <c r="A254" s="1"/>
      <c r="B254" s="91"/>
      <c r="C254" s="91"/>
      <c r="D254" s="91"/>
      <c r="E254" s="91"/>
      <c r="F254" s="91"/>
      <c r="G254" s="91"/>
      <c r="H254" s="91"/>
      <c r="I254" s="91"/>
      <c r="J254" s="91"/>
      <c r="K254" s="91"/>
      <c r="L254" s="91"/>
      <c r="M254" s="91"/>
      <c r="N254" s="91"/>
      <c r="O254" s="92"/>
      <c r="P254" s="92"/>
      <c r="Q254" s="92"/>
      <c r="R254" s="92"/>
      <c r="S254" s="92"/>
      <c r="T254" s="92"/>
      <c r="U254" s="92"/>
      <c r="V254" s="92"/>
      <c r="W254" s="92"/>
      <c r="X254" s="92"/>
      <c r="Y254" s="92"/>
      <c r="Z254" s="92"/>
      <c r="AA254" s="90"/>
    </row>
    <row r="255" spans="1:27" x14ac:dyDescent="0.35">
      <c r="A255" s="1"/>
      <c r="B255" s="91"/>
      <c r="C255" s="91"/>
      <c r="D255" s="91"/>
      <c r="E255" s="91"/>
      <c r="F255" s="91"/>
      <c r="G255" s="91"/>
      <c r="H255" s="91"/>
      <c r="I255" s="91"/>
      <c r="J255" s="91"/>
      <c r="K255" s="91"/>
      <c r="L255" s="91"/>
      <c r="M255" s="91"/>
      <c r="N255" s="91"/>
      <c r="O255" s="92"/>
      <c r="P255" s="92"/>
      <c r="Q255" s="92"/>
      <c r="R255" s="92"/>
      <c r="S255" s="92"/>
      <c r="T255" s="92"/>
      <c r="U255" s="92"/>
      <c r="V255" s="92"/>
      <c r="W255" s="92"/>
      <c r="X255" s="92"/>
      <c r="Y255" s="92"/>
      <c r="Z255" s="92"/>
      <c r="AA255" s="90"/>
    </row>
    <row r="256" spans="1:27" x14ac:dyDescent="0.35">
      <c r="A256" s="1"/>
      <c r="B256" s="91"/>
      <c r="C256" s="91"/>
      <c r="D256" s="91"/>
      <c r="E256" s="91"/>
      <c r="F256" s="91"/>
      <c r="G256" s="91"/>
      <c r="H256" s="91"/>
      <c r="I256" s="91"/>
      <c r="J256" s="91"/>
      <c r="K256" s="91"/>
      <c r="L256" s="91"/>
      <c r="M256" s="91"/>
      <c r="N256" s="91"/>
      <c r="O256" s="92"/>
      <c r="P256" s="92"/>
      <c r="Q256" s="92"/>
      <c r="R256" s="92"/>
      <c r="S256" s="92"/>
      <c r="T256" s="92"/>
      <c r="U256" s="92"/>
      <c r="V256" s="92"/>
      <c r="W256" s="92"/>
      <c r="X256" s="92"/>
      <c r="Y256" s="92"/>
      <c r="Z256" s="92"/>
      <c r="AA256" s="90"/>
    </row>
    <row r="257" spans="1:27" x14ac:dyDescent="0.35">
      <c r="A257" s="1"/>
      <c r="B257" s="91"/>
      <c r="C257" s="91"/>
      <c r="D257" s="91"/>
      <c r="E257" s="91"/>
      <c r="F257" s="91"/>
      <c r="G257" s="91"/>
      <c r="H257" s="91"/>
      <c r="I257" s="91"/>
      <c r="J257" s="91"/>
      <c r="K257" s="91"/>
      <c r="L257" s="91"/>
      <c r="M257" s="91"/>
      <c r="N257" s="91"/>
      <c r="O257" s="92"/>
      <c r="P257" s="92"/>
      <c r="Q257" s="92"/>
      <c r="R257" s="92"/>
      <c r="S257" s="92"/>
      <c r="T257" s="92"/>
      <c r="U257" s="92"/>
      <c r="V257" s="92"/>
      <c r="W257" s="92"/>
      <c r="X257" s="92"/>
      <c r="Y257" s="92"/>
      <c r="Z257" s="92"/>
      <c r="AA257" s="90"/>
    </row>
    <row r="258" spans="1:27" x14ac:dyDescent="0.35">
      <c r="A258" s="1"/>
      <c r="B258" s="91"/>
      <c r="C258" s="91"/>
      <c r="D258" s="91"/>
      <c r="E258" s="91"/>
      <c r="F258" s="91"/>
      <c r="G258" s="91"/>
      <c r="H258" s="91"/>
      <c r="I258" s="91"/>
      <c r="J258" s="91"/>
      <c r="K258" s="91"/>
      <c r="L258" s="91"/>
      <c r="M258" s="91"/>
      <c r="N258" s="91"/>
      <c r="O258" s="92"/>
      <c r="P258" s="92"/>
      <c r="Q258" s="92"/>
      <c r="R258" s="92"/>
      <c r="S258" s="92"/>
      <c r="T258" s="92"/>
      <c r="U258" s="92"/>
      <c r="V258" s="92"/>
      <c r="W258" s="92"/>
      <c r="X258" s="92"/>
      <c r="Y258" s="92"/>
      <c r="Z258" s="92"/>
      <c r="AA258" s="90"/>
    </row>
    <row r="259" spans="1:27" x14ac:dyDescent="0.35">
      <c r="A259" s="1"/>
      <c r="B259" s="91"/>
      <c r="C259" s="91"/>
      <c r="D259" s="91"/>
      <c r="E259" s="91"/>
      <c r="F259" s="91"/>
      <c r="G259" s="91"/>
      <c r="H259" s="91"/>
      <c r="I259" s="91"/>
      <c r="J259" s="91"/>
      <c r="K259" s="91"/>
      <c r="L259" s="91"/>
      <c r="M259" s="91"/>
      <c r="N259" s="91"/>
      <c r="O259" s="92"/>
      <c r="P259" s="92"/>
      <c r="Q259" s="92"/>
      <c r="R259" s="92"/>
      <c r="S259" s="92"/>
      <c r="T259" s="92"/>
      <c r="U259" s="92"/>
      <c r="V259" s="92"/>
      <c r="W259" s="92"/>
      <c r="X259" s="92"/>
      <c r="Y259" s="92"/>
      <c r="Z259" s="92"/>
      <c r="AA259" s="90"/>
    </row>
    <row r="260" spans="1:27" x14ac:dyDescent="0.35">
      <c r="A260" s="1"/>
      <c r="B260" s="91"/>
      <c r="C260" s="91"/>
      <c r="D260" s="91"/>
      <c r="E260" s="91"/>
      <c r="F260" s="91"/>
      <c r="G260" s="91"/>
      <c r="H260" s="91"/>
      <c r="I260" s="91"/>
      <c r="J260" s="91"/>
      <c r="K260" s="91"/>
      <c r="L260" s="91"/>
      <c r="M260" s="91"/>
      <c r="N260" s="91"/>
      <c r="O260" s="92"/>
      <c r="P260" s="92"/>
      <c r="Q260" s="92"/>
      <c r="R260" s="92"/>
      <c r="S260" s="92"/>
      <c r="T260" s="92"/>
      <c r="U260" s="92"/>
      <c r="V260" s="92"/>
      <c r="W260" s="92"/>
      <c r="X260" s="92"/>
      <c r="Y260" s="92"/>
      <c r="Z260" s="92"/>
      <c r="AA260" s="90"/>
    </row>
    <row r="261" spans="1:27" x14ac:dyDescent="0.35">
      <c r="A261" s="1"/>
      <c r="B261" s="91"/>
      <c r="C261" s="91"/>
      <c r="D261" s="91"/>
      <c r="E261" s="91"/>
      <c r="F261" s="91"/>
      <c r="G261" s="91"/>
      <c r="H261" s="91"/>
      <c r="I261" s="91"/>
      <c r="J261" s="91"/>
      <c r="K261" s="91"/>
      <c r="L261" s="91"/>
      <c r="M261" s="91"/>
      <c r="N261" s="91"/>
      <c r="O261" s="92"/>
      <c r="P261" s="92"/>
      <c r="Q261" s="92"/>
      <c r="R261" s="92"/>
      <c r="S261" s="92"/>
      <c r="T261" s="92"/>
      <c r="U261" s="92"/>
      <c r="V261" s="92"/>
      <c r="W261" s="92"/>
      <c r="X261" s="92"/>
      <c r="Y261" s="92"/>
      <c r="Z261" s="92"/>
      <c r="AA261" s="90"/>
    </row>
    <row r="262" spans="1:27" x14ac:dyDescent="0.35">
      <c r="A262" s="1"/>
      <c r="B262" s="91"/>
      <c r="C262" s="91"/>
      <c r="D262" s="91"/>
      <c r="E262" s="91"/>
      <c r="F262" s="91"/>
      <c r="G262" s="91"/>
      <c r="H262" s="91"/>
      <c r="I262" s="91"/>
      <c r="J262" s="91"/>
      <c r="K262" s="91"/>
      <c r="L262" s="91"/>
      <c r="M262" s="91"/>
      <c r="N262" s="91"/>
      <c r="O262" s="92"/>
      <c r="P262" s="92"/>
      <c r="Q262" s="92"/>
      <c r="R262" s="92"/>
      <c r="S262" s="92"/>
      <c r="T262" s="92"/>
      <c r="U262" s="92"/>
      <c r="V262" s="92"/>
      <c r="W262" s="92"/>
      <c r="X262" s="92"/>
      <c r="Y262" s="92"/>
      <c r="Z262" s="92"/>
      <c r="AA262" s="90"/>
    </row>
    <row r="263" spans="1:27" x14ac:dyDescent="0.35">
      <c r="A263" s="1"/>
      <c r="B263" s="91"/>
      <c r="C263" s="91"/>
      <c r="D263" s="91"/>
      <c r="E263" s="91"/>
      <c r="F263" s="91"/>
      <c r="G263" s="91"/>
      <c r="H263" s="91"/>
      <c r="I263" s="91"/>
      <c r="J263" s="91"/>
      <c r="K263" s="91"/>
      <c r="L263" s="91"/>
      <c r="M263" s="91"/>
      <c r="N263" s="91"/>
      <c r="O263" s="92"/>
      <c r="P263" s="92"/>
      <c r="Q263" s="92"/>
      <c r="R263" s="92"/>
      <c r="S263" s="92"/>
      <c r="T263" s="92"/>
      <c r="U263" s="92"/>
      <c r="V263" s="92"/>
      <c r="W263" s="92"/>
      <c r="X263" s="92"/>
      <c r="Y263" s="92"/>
      <c r="Z263" s="92"/>
      <c r="AA263" s="90"/>
    </row>
    <row r="264" spans="1:27" x14ac:dyDescent="0.35">
      <c r="A264" s="1"/>
      <c r="B264" s="91"/>
      <c r="C264" s="91"/>
      <c r="D264" s="91"/>
      <c r="E264" s="91"/>
      <c r="F264" s="91"/>
      <c r="G264" s="91"/>
      <c r="H264" s="91"/>
      <c r="I264" s="91"/>
      <c r="J264" s="91"/>
      <c r="K264" s="91"/>
      <c r="L264" s="91"/>
      <c r="M264" s="91"/>
      <c r="N264" s="91"/>
      <c r="O264" s="92"/>
      <c r="P264" s="92"/>
      <c r="Q264" s="92"/>
      <c r="R264" s="92"/>
      <c r="S264" s="92"/>
      <c r="T264" s="92"/>
      <c r="U264" s="92"/>
      <c r="V264" s="92"/>
      <c r="W264" s="92"/>
      <c r="X264" s="92"/>
      <c r="Y264" s="92"/>
      <c r="Z264" s="92"/>
      <c r="AA264" s="90"/>
    </row>
    <row r="265" spans="1:27" x14ac:dyDescent="0.35">
      <c r="A265" s="1"/>
      <c r="B265" s="91"/>
      <c r="C265" s="91"/>
      <c r="D265" s="91"/>
      <c r="E265" s="91"/>
      <c r="F265" s="91"/>
      <c r="G265" s="91"/>
      <c r="H265" s="91"/>
      <c r="I265" s="91"/>
      <c r="J265" s="91"/>
      <c r="K265" s="91"/>
      <c r="L265" s="91"/>
      <c r="M265" s="91"/>
      <c r="N265" s="91"/>
      <c r="O265" s="92"/>
      <c r="P265" s="92"/>
      <c r="Q265" s="92"/>
      <c r="R265" s="92"/>
      <c r="S265" s="92"/>
      <c r="T265" s="92"/>
      <c r="U265" s="92"/>
      <c r="V265" s="92"/>
      <c r="W265" s="92"/>
      <c r="X265" s="92"/>
      <c r="Y265" s="92"/>
      <c r="Z265" s="92"/>
      <c r="AA265" s="90"/>
    </row>
    <row r="266" spans="1:27" x14ac:dyDescent="0.35">
      <c r="A266" s="1"/>
      <c r="B266" s="91"/>
      <c r="C266" s="91"/>
      <c r="D266" s="91"/>
      <c r="E266" s="91"/>
      <c r="F266" s="91"/>
      <c r="G266" s="91"/>
      <c r="H266" s="91"/>
      <c r="I266" s="91"/>
      <c r="J266" s="91"/>
      <c r="K266" s="91"/>
      <c r="L266" s="91"/>
      <c r="M266" s="91"/>
      <c r="N266" s="91"/>
      <c r="O266" s="92"/>
      <c r="P266" s="92"/>
      <c r="Q266" s="92"/>
      <c r="R266" s="92"/>
      <c r="S266" s="92"/>
      <c r="T266" s="92"/>
      <c r="U266" s="92"/>
      <c r="V266" s="92"/>
      <c r="W266" s="92"/>
      <c r="X266" s="92"/>
      <c r="Y266" s="92"/>
      <c r="Z266" s="92"/>
      <c r="AA266" s="90"/>
    </row>
    <row r="267" spans="1:27" x14ac:dyDescent="0.35">
      <c r="A267" s="1"/>
      <c r="B267" s="91"/>
      <c r="C267" s="91"/>
      <c r="D267" s="91"/>
      <c r="E267" s="91"/>
      <c r="F267" s="91"/>
      <c r="G267" s="91"/>
      <c r="H267" s="91"/>
      <c r="I267" s="91"/>
      <c r="J267" s="91"/>
      <c r="K267" s="91"/>
      <c r="L267" s="91"/>
      <c r="M267" s="91"/>
      <c r="N267" s="91"/>
      <c r="O267" s="92"/>
      <c r="P267" s="92"/>
      <c r="Q267" s="92"/>
      <c r="R267" s="92"/>
      <c r="S267" s="92"/>
      <c r="T267" s="92"/>
      <c r="U267" s="92"/>
      <c r="V267" s="92"/>
      <c r="W267" s="92"/>
      <c r="X267" s="92"/>
      <c r="Y267" s="92"/>
      <c r="Z267" s="92"/>
      <c r="AA267" s="90"/>
    </row>
    <row r="268" spans="1:27" x14ac:dyDescent="0.35">
      <c r="A268" s="1"/>
      <c r="B268" s="91"/>
      <c r="C268" s="91"/>
      <c r="D268" s="91"/>
      <c r="E268" s="91"/>
      <c r="F268" s="91"/>
      <c r="G268" s="91"/>
      <c r="H268" s="91"/>
      <c r="I268" s="91"/>
      <c r="J268" s="91"/>
      <c r="K268" s="91"/>
      <c r="L268" s="91"/>
      <c r="M268" s="91"/>
      <c r="N268" s="91"/>
      <c r="O268" s="92"/>
      <c r="P268" s="92"/>
      <c r="Q268" s="92"/>
      <c r="R268" s="92"/>
      <c r="S268" s="92"/>
      <c r="T268" s="92"/>
      <c r="U268" s="92"/>
      <c r="V268" s="92"/>
      <c r="W268" s="92"/>
      <c r="X268" s="92"/>
      <c r="Y268" s="92"/>
      <c r="Z268" s="92"/>
      <c r="AA268" s="90"/>
    </row>
    <row r="269" spans="1:27" x14ac:dyDescent="0.35">
      <c r="A269" s="1"/>
      <c r="B269" s="91"/>
      <c r="C269" s="91"/>
      <c r="D269" s="91"/>
      <c r="E269" s="91"/>
      <c r="F269" s="91"/>
      <c r="G269" s="91"/>
      <c r="H269" s="91"/>
      <c r="I269" s="91"/>
      <c r="J269" s="91"/>
      <c r="K269" s="91"/>
      <c r="L269" s="91"/>
      <c r="M269" s="91"/>
      <c r="N269" s="91"/>
      <c r="O269" s="92"/>
      <c r="P269" s="92"/>
      <c r="Q269" s="92"/>
      <c r="R269" s="92"/>
      <c r="S269" s="92"/>
      <c r="T269" s="92"/>
      <c r="U269" s="92"/>
      <c r="V269" s="92"/>
      <c r="W269" s="92"/>
      <c r="X269" s="92"/>
      <c r="Y269" s="92"/>
      <c r="Z269" s="92"/>
      <c r="AA269" s="90"/>
    </row>
    <row r="270" spans="1:27" x14ac:dyDescent="0.35">
      <c r="A270" s="1"/>
      <c r="B270" s="91"/>
      <c r="C270" s="91"/>
      <c r="D270" s="91"/>
      <c r="E270" s="91"/>
      <c r="F270" s="91"/>
      <c r="G270" s="91"/>
      <c r="H270" s="91"/>
      <c r="I270" s="91"/>
      <c r="J270" s="91"/>
      <c r="K270" s="91"/>
      <c r="L270" s="91"/>
      <c r="M270" s="91"/>
      <c r="N270" s="91"/>
      <c r="O270" s="92"/>
      <c r="P270" s="92"/>
      <c r="Q270" s="92"/>
      <c r="R270" s="92"/>
      <c r="S270" s="92"/>
      <c r="T270" s="92"/>
      <c r="U270" s="92"/>
      <c r="V270" s="92"/>
      <c r="W270" s="92"/>
      <c r="X270" s="92"/>
      <c r="Y270" s="92"/>
      <c r="Z270" s="92"/>
      <c r="AA270" s="90"/>
    </row>
    <row r="271" spans="1:27" x14ac:dyDescent="0.35">
      <c r="A271" s="1"/>
      <c r="B271" s="91"/>
      <c r="C271" s="91"/>
      <c r="D271" s="91"/>
      <c r="E271" s="91"/>
      <c r="F271" s="91"/>
      <c r="G271" s="91"/>
      <c r="H271" s="91"/>
      <c r="I271" s="91"/>
      <c r="J271" s="91"/>
      <c r="K271" s="91"/>
      <c r="L271" s="91"/>
      <c r="M271" s="91"/>
      <c r="N271" s="91"/>
      <c r="O271" s="92"/>
      <c r="P271" s="92"/>
      <c r="Q271" s="92"/>
      <c r="R271" s="92"/>
      <c r="S271" s="92"/>
      <c r="T271" s="92"/>
      <c r="U271" s="92"/>
      <c r="V271" s="92"/>
      <c r="W271" s="92"/>
      <c r="X271" s="92"/>
      <c r="Y271" s="92"/>
      <c r="Z271" s="92"/>
      <c r="AA271" s="90"/>
    </row>
    <row r="272" spans="1:27" x14ac:dyDescent="0.35">
      <c r="A272" s="1"/>
      <c r="B272" s="91"/>
      <c r="C272" s="91"/>
      <c r="D272" s="91"/>
      <c r="E272" s="91"/>
      <c r="F272" s="91"/>
      <c r="G272" s="91"/>
      <c r="H272" s="91"/>
      <c r="I272" s="91"/>
      <c r="J272" s="91"/>
      <c r="K272" s="91"/>
      <c r="L272" s="91"/>
      <c r="M272" s="91"/>
      <c r="N272" s="91"/>
      <c r="O272" s="92"/>
      <c r="P272" s="92"/>
      <c r="Q272" s="92"/>
      <c r="R272" s="92"/>
      <c r="S272" s="92"/>
      <c r="T272" s="92"/>
      <c r="U272" s="92"/>
      <c r="V272" s="92"/>
      <c r="W272" s="92"/>
      <c r="X272" s="92"/>
      <c r="Y272" s="92"/>
      <c r="Z272" s="92"/>
      <c r="AA272" s="90"/>
    </row>
    <row r="273" spans="1:27" x14ac:dyDescent="0.35">
      <c r="A273" s="1"/>
      <c r="B273" s="91"/>
      <c r="C273" s="91"/>
      <c r="D273" s="91"/>
      <c r="E273" s="91"/>
      <c r="F273" s="91"/>
      <c r="G273" s="91"/>
      <c r="H273" s="91"/>
      <c r="I273" s="91"/>
      <c r="J273" s="91"/>
      <c r="K273" s="91"/>
      <c r="L273" s="91"/>
      <c r="M273" s="91"/>
      <c r="N273" s="91"/>
      <c r="O273" s="92"/>
      <c r="P273" s="92"/>
      <c r="Q273" s="92"/>
      <c r="R273" s="92"/>
      <c r="S273" s="92"/>
      <c r="T273" s="92"/>
      <c r="U273" s="92"/>
      <c r="V273" s="92"/>
      <c r="W273" s="92"/>
      <c r="X273" s="92"/>
      <c r="Y273" s="92"/>
      <c r="Z273" s="92"/>
      <c r="AA273" s="90"/>
    </row>
    <row r="274" spans="1:27" x14ac:dyDescent="0.35">
      <c r="A274" s="1"/>
      <c r="B274" s="91"/>
      <c r="C274" s="91"/>
      <c r="D274" s="91"/>
      <c r="E274" s="91"/>
      <c r="F274" s="91"/>
      <c r="G274" s="91"/>
      <c r="H274" s="91"/>
      <c r="I274" s="91"/>
      <c r="J274" s="91"/>
      <c r="K274" s="91"/>
      <c r="L274" s="91"/>
      <c r="M274" s="91"/>
      <c r="N274" s="91"/>
      <c r="O274" s="92"/>
      <c r="P274" s="92"/>
      <c r="Q274" s="92"/>
      <c r="R274" s="92"/>
      <c r="S274" s="92"/>
      <c r="T274" s="92"/>
      <c r="U274" s="92"/>
      <c r="V274" s="92"/>
      <c r="W274" s="92"/>
      <c r="X274" s="92"/>
      <c r="Y274" s="92"/>
      <c r="Z274" s="92"/>
      <c r="AA274" s="90"/>
    </row>
    <row r="275" spans="1:27" x14ac:dyDescent="0.35">
      <c r="A275" s="1"/>
      <c r="B275" s="91"/>
      <c r="C275" s="91"/>
      <c r="D275" s="91"/>
      <c r="E275" s="91"/>
      <c r="F275" s="91"/>
      <c r="G275" s="91"/>
      <c r="H275" s="91"/>
      <c r="I275" s="91"/>
      <c r="J275" s="91"/>
      <c r="K275" s="91"/>
      <c r="L275" s="91"/>
      <c r="M275" s="91"/>
      <c r="N275" s="91"/>
      <c r="O275" s="92"/>
      <c r="P275" s="92"/>
      <c r="Q275" s="92"/>
      <c r="R275" s="92"/>
      <c r="S275" s="92"/>
      <c r="T275" s="92"/>
      <c r="U275" s="92"/>
      <c r="V275" s="92"/>
      <c r="W275" s="92"/>
      <c r="X275" s="92"/>
      <c r="Y275" s="92"/>
      <c r="Z275" s="92"/>
      <c r="AA275" s="90"/>
    </row>
    <row r="276" spans="1:27" x14ac:dyDescent="0.35">
      <c r="A276" s="1"/>
      <c r="B276" s="91"/>
      <c r="C276" s="91"/>
      <c r="D276" s="91"/>
      <c r="E276" s="91"/>
      <c r="F276" s="91"/>
      <c r="G276" s="91"/>
      <c r="H276" s="91"/>
      <c r="I276" s="91"/>
      <c r="J276" s="91"/>
      <c r="K276" s="91"/>
      <c r="L276" s="91"/>
      <c r="M276" s="91"/>
      <c r="N276" s="91"/>
      <c r="O276" s="92"/>
      <c r="P276" s="92"/>
      <c r="Q276" s="92"/>
      <c r="R276" s="92"/>
      <c r="S276" s="92"/>
      <c r="T276" s="92"/>
      <c r="U276" s="92"/>
      <c r="V276" s="92"/>
      <c r="W276" s="92"/>
      <c r="X276" s="92"/>
      <c r="Y276" s="92"/>
      <c r="Z276" s="92"/>
      <c r="AA276" s="90"/>
    </row>
    <row r="277" spans="1:27" x14ac:dyDescent="0.35">
      <c r="A277" s="1"/>
      <c r="B277" s="91"/>
      <c r="C277" s="91"/>
      <c r="D277" s="91"/>
      <c r="E277" s="91"/>
      <c r="F277" s="91"/>
      <c r="G277" s="91"/>
      <c r="H277" s="91"/>
      <c r="I277" s="91"/>
      <c r="J277" s="91"/>
      <c r="K277" s="91"/>
      <c r="L277" s="91"/>
      <c r="M277" s="91"/>
      <c r="N277" s="91"/>
      <c r="O277" s="92"/>
      <c r="P277" s="92"/>
      <c r="Q277" s="92"/>
      <c r="R277" s="92"/>
      <c r="S277" s="92"/>
      <c r="T277" s="92"/>
      <c r="U277" s="92"/>
      <c r="V277" s="92"/>
      <c r="W277" s="92"/>
      <c r="X277" s="92"/>
      <c r="Y277" s="92"/>
      <c r="Z277" s="92"/>
      <c r="AA277" s="90"/>
    </row>
    <row r="278" spans="1:27" x14ac:dyDescent="0.35">
      <c r="A278" s="1"/>
      <c r="B278" s="91"/>
      <c r="C278" s="91"/>
      <c r="D278" s="91"/>
      <c r="E278" s="91"/>
      <c r="F278" s="91"/>
      <c r="G278" s="91"/>
      <c r="H278" s="91"/>
      <c r="I278" s="91"/>
      <c r="J278" s="91"/>
      <c r="K278" s="91"/>
      <c r="L278" s="91"/>
      <c r="M278" s="91"/>
      <c r="N278" s="91"/>
      <c r="O278" s="92"/>
      <c r="P278" s="92"/>
      <c r="Q278" s="92"/>
      <c r="R278" s="92"/>
      <c r="S278" s="92"/>
      <c r="T278" s="92"/>
      <c r="U278" s="92"/>
      <c r="V278" s="92"/>
      <c r="W278" s="92"/>
      <c r="X278" s="92"/>
      <c r="Y278" s="92"/>
      <c r="Z278" s="92"/>
      <c r="AA278" s="90"/>
    </row>
    <row r="279" spans="1:27" x14ac:dyDescent="0.35">
      <c r="A279" s="1"/>
      <c r="B279" s="91"/>
      <c r="C279" s="91"/>
      <c r="D279" s="91"/>
      <c r="E279" s="91"/>
      <c r="F279" s="91"/>
      <c r="G279" s="91"/>
      <c r="H279" s="91"/>
      <c r="I279" s="91"/>
      <c r="J279" s="91"/>
      <c r="K279" s="91"/>
      <c r="L279" s="91"/>
      <c r="M279" s="91"/>
      <c r="N279" s="91"/>
      <c r="O279" s="92"/>
      <c r="P279" s="92"/>
      <c r="Q279" s="92"/>
      <c r="R279" s="92"/>
      <c r="S279" s="92"/>
      <c r="T279" s="92"/>
      <c r="U279" s="92"/>
      <c r="V279" s="92"/>
      <c r="W279" s="92"/>
      <c r="X279" s="92"/>
      <c r="Y279" s="92"/>
      <c r="Z279" s="92"/>
      <c r="AA279" s="90"/>
    </row>
    <row r="280" spans="1:27" x14ac:dyDescent="0.35">
      <c r="A280" s="1"/>
      <c r="B280" s="91"/>
      <c r="C280" s="91"/>
      <c r="D280" s="91"/>
      <c r="E280" s="91"/>
      <c r="F280" s="91"/>
      <c r="G280" s="91"/>
      <c r="H280" s="91"/>
      <c r="I280" s="91"/>
      <c r="J280" s="91"/>
      <c r="K280" s="91"/>
      <c r="L280" s="91"/>
      <c r="M280" s="91"/>
      <c r="N280" s="91"/>
      <c r="O280" s="92"/>
      <c r="P280" s="92"/>
      <c r="Q280" s="92"/>
      <c r="R280" s="92"/>
      <c r="S280" s="92"/>
      <c r="T280" s="92"/>
      <c r="U280" s="92"/>
      <c r="V280" s="92"/>
      <c r="W280" s="92"/>
      <c r="X280" s="92"/>
      <c r="Y280" s="92"/>
      <c r="Z280" s="92"/>
      <c r="AA280" s="90"/>
    </row>
    <row r="281" spans="1:27" x14ac:dyDescent="0.35">
      <c r="A281" s="1"/>
      <c r="B281" s="91"/>
      <c r="C281" s="91"/>
      <c r="D281" s="91"/>
      <c r="E281" s="91"/>
      <c r="F281" s="91"/>
      <c r="G281" s="91"/>
      <c r="H281" s="91"/>
      <c r="I281" s="91"/>
      <c r="J281" s="91"/>
      <c r="K281" s="91"/>
      <c r="L281" s="91"/>
      <c r="M281" s="91"/>
      <c r="N281" s="91"/>
      <c r="O281" s="92"/>
      <c r="P281" s="92"/>
      <c r="Q281" s="92"/>
      <c r="R281" s="92"/>
      <c r="S281" s="92"/>
      <c r="T281" s="92"/>
      <c r="U281" s="92"/>
      <c r="V281" s="92"/>
      <c r="W281" s="92"/>
      <c r="X281" s="92"/>
      <c r="Y281" s="92"/>
      <c r="Z281" s="92"/>
      <c r="AA281" s="90"/>
    </row>
    <row r="282" spans="1:27" x14ac:dyDescent="0.35">
      <c r="A282" s="1"/>
      <c r="B282" s="91"/>
      <c r="C282" s="91"/>
      <c r="D282" s="91"/>
      <c r="E282" s="91"/>
      <c r="F282" s="91"/>
      <c r="G282" s="91"/>
      <c r="H282" s="91"/>
      <c r="I282" s="91"/>
      <c r="J282" s="91"/>
      <c r="K282" s="91"/>
      <c r="L282" s="91"/>
      <c r="M282" s="91"/>
      <c r="N282" s="91"/>
      <c r="O282" s="92"/>
      <c r="P282" s="92"/>
      <c r="Q282" s="92"/>
      <c r="R282" s="92"/>
      <c r="S282" s="92"/>
      <c r="T282" s="92"/>
      <c r="U282" s="92"/>
      <c r="V282" s="92"/>
      <c r="W282" s="92"/>
      <c r="X282" s="92"/>
      <c r="Y282" s="92"/>
      <c r="Z282" s="92"/>
      <c r="AA282" s="90"/>
    </row>
    <row r="283" spans="1:27" x14ac:dyDescent="0.35">
      <c r="A283" s="1"/>
      <c r="B283" s="91"/>
      <c r="C283" s="91"/>
      <c r="D283" s="91"/>
      <c r="E283" s="91"/>
      <c r="F283" s="91"/>
      <c r="G283" s="91"/>
      <c r="H283" s="91"/>
      <c r="I283" s="91"/>
      <c r="J283" s="91"/>
      <c r="K283" s="91"/>
      <c r="L283" s="91"/>
      <c r="M283" s="91"/>
      <c r="N283" s="91"/>
      <c r="O283" s="92"/>
      <c r="P283" s="92"/>
      <c r="Q283" s="92"/>
      <c r="R283" s="92"/>
      <c r="S283" s="92"/>
      <c r="T283" s="92"/>
      <c r="U283" s="92"/>
      <c r="V283" s="92"/>
      <c r="W283" s="92"/>
      <c r="X283" s="92"/>
      <c r="Y283" s="92"/>
      <c r="Z283" s="92"/>
      <c r="AA283" s="90"/>
    </row>
    <row r="284" spans="1:27" x14ac:dyDescent="0.35">
      <c r="A284" s="1"/>
      <c r="B284" s="91"/>
      <c r="C284" s="91"/>
      <c r="D284" s="91"/>
      <c r="E284" s="91"/>
      <c r="F284" s="91"/>
      <c r="G284" s="91"/>
      <c r="H284" s="91"/>
      <c r="I284" s="91"/>
      <c r="J284" s="91"/>
      <c r="K284" s="91"/>
      <c r="L284" s="91"/>
      <c r="M284" s="91"/>
      <c r="N284" s="91"/>
      <c r="O284" s="92"/>
      <c r="P284" s="92"/>
      <c r="Q284" s="92"/>
      <c r="R284" s="92"/>
      <c r="S284" s="92"/>
      <c r="T284" s="92"/>
      <c r="U284" s="92"/>
      <c r="V284" s="92"/>
      <c r="W284" s="92"/>
      <c r="X284" s="92"/>
      <c r="Y284" s="92"/>
      <c r="Z284" s="92"/>
      <c r="AA284" s="90"/>
    </row>
    <row r="285" spans="1:27" x14ac:dyDescent="0.35">
      <c r="A285" s="1"/>
      <c r="B285" s="91"/>
      <c r="C285" s="91"/>
      <c r="D285" s="91"/>
      <c r="E285" s="91"/>
      <c r="F285" s="91"/>
      <c r="G285" s="91"/>
      <c r="H285" s="91"/>
      <c r="I285" s="91"/>
      <c r="J285" s="91"/>
      <c r="K285" s="91"/>
      <c r="L285" s="91"/>
      <c r="M285" s="91"/>
      <c r="N285" s="91"/>
      <c r="O285" s="92"/>
      <c r="P285" s="92"/>
      <c r="Q285" s="92"/>
      <c r="R285" s="92"/>
      <c r="S285" s="92"/>
      <c r="T285" s="92"/>
      <c r="U285" s="92"/>
      <c r="V285" s="92"/>
      <c r="W285" s="92"/>
      <c r="X285" s="92"/>
      <c r="Y285" s="92"/>
      <c r="Z285" s="92"/>
      <c r="AA285" s="90"/>
    </row>
    <row r="286" spans="1:27" x14ac:dyDescent="0.35">
      <c r="A286" s="1"/>
      <c r="B286" s="91"/>
      <c r="C286" s="91"/>
      <c r="D286" s="91"/>
      <c r="E286" s="91"/>
      <c r="F286" s="91"/>
      <c r="G286" s="91"/>
      <c r="H286" s="91"/>
      <c r="I286" s="91"/>
      <c r="J286" s="91"/>
      <c r="K286" s="91"/>
      <c r="L286" s="91"/>
      <c r="M286" s="91"/>
      <c r="N286" s="91"/>
      <c r="O286" s="92"/>
      <c r="P286" s="92"/>
      <c r="Q286" s="92"/>
      <c r="R286" s="92"/>
      <c r="S286" s="92"/>
      <c r="T286" s="92"/>
      <c r="U286" s="92"/>
      <c r="V286" s="92"/>
      <c r="W286" s="92"/>
      <c r="X286" s="92"/>
      <c r="Y286" s="92"/>
      <c r="Z286" s="92"/>
      <c r="AA286" s="90"/>
    </row>
    <row r="287" spans="1:27" x14ac:dyDescent="0.35">
      <c r="A287" s="1"/>
      <c r="B287" s="91"/>
      <c r="C287" s="91"/>
      <c r="D287" s="91"/>
      <c r="E287" s="91"/>
      <c r="F287" s="91"/>
      <c r="G287" s="91"/>
      <c r="H287" s="91"/>
      <c r="I287" s="91"/>
      <c r="J287" s="91"/>
      <c r="K287" s="91"/>
      <c r="L287" s="91"/>
      <c r="M287" s="91"/>
      <c r="N287" s="91"/>
      <c r="O287" s="92"/>
      <c r="P287" s="92"/>
      <c r="Q287" s="92"/>
      <c r="R287" s="92"/>
      <c r="S287" s="92"/>
      <c r="T287" s="92"/>
      <c r="U287" s="92"/>
      <c r="V287" s="92"/>
      <c r="W287" s="92"/>
      <c r="X287" s="92"/>
      <c r="Y287" s="92"/>
      <c r="Z287" s="92"/>
      <c r="AA287" s="90"/>
    </row>
    <row r="288" spans="1:27" x14ac:dyDescent="0.35">
      <c r="A288" s="1"/>
      <c r="B288" s="91"/>
      <c r="C288" s="91"/>
      <c r="D288" s="91"/>
      <c r="E288" s="91"/>
      <c r="F288" s="91"/>
      <c r="G288" s="91"/>
      <c r="H288" s="91"/>
      <c r="I288" s="91"/>
      <c r="J288" s="91"/>
      <c r="K288" s="91"/>
      <c r="L288" s="91"/>
      <c r="M288" s="91"/>
      <c r="N288" s="91"/>
      <c r="O288" s="92"/>
      <c r="P288" s="92"/>
      <c r="Q288" s="92"/>
      <c r="R288" s="92"/>
      <c r="S288" s="92"/>
      <c r="T288" s="92"/>
      <c r="U288" s="92"/>
      <c r="V288" s="92"/>
      <c r="W288" s="92"/>
      <c r="X288" s="92"/>
      <c r="Y288" s="92"/>
      <c r="Z288" s="92"/>
      <c r="AA288" s="90"/>
    </row>
    <row r="289" spans="1:27" x14ac:dyDescent="0.35">
      <c r="A289" s="1"/>
      <c r="B289" s="91"/>
      <c r="C289" s="91"/>
      <c r="D289" s="91"/>
      <c r="E289" s="91"/>
      <c r="F289" s="91"/>
      <c r="G289" s="91"/>
      <c r="H289" s="91"/>
      <c r="I289" s="91"/>
      <c r="J289" s="91"/>
      <c r="K289" s="91"/>
      <c r="L289" s="91"/>
      <c r="M289" s="91"/>
      <c r="N289" s="91"/>
      <c r="O289" s="92"/>
      <c r="P289" s="92"/>
      <c r="Q289" s="92"/>
      <c r="R289" s="92"/>
      <c r="S289" s="92"/>
      <c r="T289" s="92"/>
      <c r="U289" s="92"/>
      <c r="V289" s="92"/>
      <c r="W289" s="92"/>
      <c r="X289" s="92"/>
      <c r="Y289" s="92"/>
      <c r="Z289" s="92"/>
      <c r="AA289" s="90"/>
    </row>
    <row r="290" spans="1:27" x14ac:dyDescent="0.35">
      <c r="A290" s="1"/>
      <c r="B290" s="91"/>
      <c r="C290" s="91"/>
      <c r="D290" s="91"/>
      <c r="E290" s="91"/>
      <c r="F290" s="91"/>
      <c r="G290" s="91"/>
      <c r="H290" s="91"/>
      <c r="I290" s="91"/>
      <c r="J290" s="91"/>
      <c r="K290" s="91"/>
      <c r="L290" s="91"/>
      <c r="M290" s="91"/>
      <c r="N290" s="91"/>
      <c r="O290" s="92"/>
      <c r="P290" s="92"/>
      <c r="Q290" s="92"/>
      <c r="R290" s="92"/>
      <c r="S290" s="92"/>
      <c r="T290" s="92"/>
      <c r="U290" s="92"/>
      <c r="V290" s="92"/>
      <c r="W290" s="92"/>
      <c r="X290" s="92"/>
      <c r="Y290" s="92"/>
      <c r="Z290" s="92"/>
      <c r="AA290" s="90"/>
    </row>
    <row r="291" spans="1:27" x14ac:dyDescent="0.35">
      <c r="A291" s="1"/>
      <c r="B291" s="91"/>
      <c r="C291" s="91"/>
      <c r="D291" s="91"/>
      <c r="E291" s="91"/>
      <c r="F291" s="91"/>
      <c r="G291" s="91"/>
      <c r="H291" s="91"/>
      <c r="I291" s="91"/>
      <c r="J291" s="91"/>
      <c r="K291" s="91"/>
      <c r="L291" s="91"/>
      <c r="M291" s="91"/>
      <c r="N291" s="91"/>
      <c r="O291" s="92"/>
      <c r="P291" s="92"/>
      <c r="Q291" s="92"/>
      <c r="R291" s="92"/>
      <c r="S291" s="92"/>
      <c r="T291" s="92"/>
      <c r="U291" s="92"/>
      <c r="V291" s="92"/>
      <c r="W291" s="92"/>
      <c r="X291" s="92"/>
      <c r="Y291" s="92"/>
      <c r="Z291" s="92"/>
      <c r="AA291" s="90"/>
    </row>
    <row r="292" spans="1:27" x14ac:dyDescent="0.35">
      <c r="A292" s="1"/>
      <c r="B292" s="91"/>
      <c r="C292" s="91"/>
      <c r="D292" s="91"/>
      <c r="E292" s="91"/>
      <c r="F292" s="91"/>
      <c r="G292" s="91"/>
      <c r="H292" s="91"/>
      <c r="I292" s="91"/>
      <c r="J292" s="91"/>
      <c r="K292" s="91"/>
      <c r="L292" s="91"/>
      <c r="M292" s="91"/>
      <c r="N292" s="91"/>
      <c r="O292" s="92"/>
      <c r="P292" s="92"/>
      <c r="Q292" s="92"/>
      <c r="R292" s="92"/>
      <c r="S292" s="92"/>
      <c r="T292" s="92"/>
      <c r="U292" s="92"/>
      <c r="V292" s="92"/>
      <c r="W292" s="92"/>
      <c r="X292" s="92"/>
      <c r="Y292" s="92"/>
      <c r="Z292" s="92"/>
      <c r="AA292" s="90"/>
    </row>
    <row r="293" spans="1:27" x14ac:dyDescent="0.35">
      <c r="A293" s="1"/>
      <c r="B293" s="91"/>
      <c r="C293" s="91"/>
      <c r="D293" s="91"/>
      <c r="E293" s="91"/>
      <c r="F293" s="91"/>
      <c r="G293" s="91"/>
      <c r="H293" s="91"/>
      <c r="I293" s="91"/>
      <c r="J293" s="91"/>
      <c r="K293" s="91"/>
      <c r="L293" s="91"/>
      <c r="M293" s="91"/>
      <c r="N293" s="91"/>
      <c r="O293" s="92"/>
      <c r="P293" s="92"/>
      <c r="Q293" s="92"/>
      <c r="R293" s="92"/>
      <c r="S293" s="92"/>
      <c r="T293" s="92"/>
      <c r="U293" s="92"/>
      <c r="V293" s="92"/>
      <c r="W293" s="92"/>
      <c r="X293" s="92"/>
      <c r="Y293" s="92"/>
      <c r="Z293" s="92"/>
      <c r="AA293" s="90"/>
    </row>
    <row r="294" spans="1:27" x14ac:dyDescent="0.35">
      <c r="A294" s="1"/>
      <c r="B294" s="91"/>
      <c r="C294" s="91"/>
      <c r="D294" s="91"/>
      <c r="E294" s="91"/>
      <c r="F294" s="91"/>
      <c r="G294" s="91"/>
      <c r="H294" s="91"/>
      <c r="I294" s="91"/>
      <c r="J294" s="91"/>
      <c r="K294" s="91"/>
      <c r="L294" s="91"/>
      <c r="M294" s="91"/>
      <c r="N294" s="91"/>
      <c r="O294" s="92"/>
      <c r="P294" s="92"/>
      <c r="Q294" s="92"/>
      <c r="R294" s="92"/>
      <c r="S294" s="92"/>
      <c r="T294" s="92"/>
      <c r="U294" s="92"/>
      <c r="V294" s="92"/>
      <c r="W294" s="92"/>
      <c r="X294" s="92"/>
      <c r="Y294" s="92"/>
      <c r="Z294" s="92"/>
      <c r="AA294" s="90"/>
    </row>
    <row r="295" spans="1:27" x14ac:dyDescent="0.35">
      <c r="A295" s="1"/>
      <c r="B295" s="91"/>
      <c r="C295" s="91"/>
      <c r="D295" s="91"/>
      <c r="E295" s="91"/>
      <c r="F295" s="91"/>
      <c r="G295" s="91"/>
      <c r="H295" s="91"/>
      <c r="I295" s="91"/>
      <c r="J295" s="91"/>
      <c r="K295" s="91"/>
      <c r="L295" s="91"/>
      <c r="M295" s="91"/>
      <c r="N295" s="91"/>
      <c r="O295" s="92"/>
      <c r="P295" s="92"/>
      <c r="Q295" s="92"/>
      <c r="R295" s="92"/>
      <c r="S295" s="92"/>
      <c r="T295" s="92"/>
      <c r="U295" s="92"/>
      <c r="V295" s="92"/>
      <c r="W295" s="92"/>
      <c r="X295" s="92"/>
      <c r="Y295" s="92"/>
      <c r="Z295" s="92"/>
      <c r="AA295" s="90"/>
    </row>
    <row r="296" spans="1:27" x14ac:dyDescent="0.35">
      <c r="A296" s="1"/>
      <c r="B296" s="91"/>
      <c r="C296" s="91"/>
      <c r="D296" s="91"/>
      <c r="E296" s="91"/>
      <c r="F296" s="91"/>
      <c r="G296" s="91"/>
      <c r="H296" s="91"/>
      <c r="I296" s="91"/>
      <c r="J296" s="91"/>
      <c r="K296" s="91"/>
      <c r="L296" s="91"/>
      <c r="M296" s="91"/>
      <c r="N296" s="91"/>
      <c r="O296" s="92"/>
      <c r="P296" s="92"/>
      <c r="Q296" s="92"/>
      <c r="R296" s="92"/>
      <c r="S296" s="92"/>
      <c r="T296" s="92"/>
      <c r="U296" s="92"/>
      <c r="V296" s="92"/>
      <c r="W296" s="92"/>
      <c r="X296" s="92"/>
      <c r="Y296" s="92"/>
      <c r="Z296" s="92"/>
      <c r="AA296" s="90"/>
    </row>
    <row r="297" spans="1:27" x14ac:dyDescent="0.35">
      <c r="A297" s="1"/>
      <c r="B297" s="91"/>
      <c r="C297" s="91"/>
      <c r="D297" s="91"/>
      <c r="E297" s="91"/>
      <c r="F297" s="91"/>
      <c r="G297" s="91"/>
      <c r="H297" s="91"/>
      <c r="I297" s="91"/>
      <c r="J297" s="91"/>
      <c r="K297" s="91"/>
      <c r="L297" s="91"/>
      <c r="M297" s="91"/>
      <c r="N297" s="91"/>
      <c r="O297" s="92"/>
      <c r="P297" s="92"/>
      <c r="Q297" s="92"/>
      <c r="R297" s="92"/>
      <c r="S297" s="92"/>
      <c r="T297" s="92"/>
      <c r="U297" s="92"/>
      <c r="V297" s="92"/>
      <c r="W297" s="92"/>
      <c r="X297" s="92"/>
      <c r="Y297" s="92"/>
      <c r="Z297" s="92"/>
      <c r="AA297" s="90"/>
    </row>
    <row r="298" spans="1:27" x14ac:dyDescent="0.35">
      <c r="A298" s="1"/>
      <c r="B298" s="91"/>
      <c r="C298" s="91"/>
      <c r="D298" s="91"/>
      <c r="E298" s="91"/>
      <c r="F298" s="91"/>
      <c r="G298" s="91"/>
      <c r="H298" s="91"/>
      <c r="I298" s="91"/>
      <c r="J298" s="91"/>
      <c r="K298" s="91"/>
      <c r="L298" s="91"/>
      <c r="M298" s="91"/>
      <c r="N298" s="91"/>
      <c r="O298" s="92"/>
      <c r="P298" s="92"/>
      <c r="Q298" s="92"/>
      <c r="R298" s="92"/>
      <c r="S298" s="92"/>
      <c r="T298" s="92"/>
      <c r="U298" s="92"/>
      <c r="V298" s="92"/>
      <c r="W298" s="92"/>
      <c r="X298" s="92"/>
      <c r="Y298" s="92"/>
      <c r="Z298" s="92"/>
      <c r="AA298" s="90"/>
    </row>
    <row r="299" spans="1:27" x14ac:dyDescent="0.35">
      <c r="A299" s="1"/>
      <c r="B299" s="91"/>
      <c r="C299" s="91"/>
      <c r="D299" s="91"/>
      <c r="E299" s="91"/>
      <c r="F299" s="91"/>
      <c r="G299" s="91"/>
      <c r="H299" s="91"/>
      <c r="I299" s="91"/>
      <c r="J299" s="91"/>
      <c r="K299" s="91"/>
      <c r="L299" s="91"/>
      <c r="M299" s="91"/>
      <c r="N299" s="91"/>
      <c r="O299" s="92"/>
      <c r="P299" s="92"/>
      <c r="Q299" s="92"/>
      <c r="R299" s="92"/>
      <c r="S299" s="92"/>
      <c r="T299" s="92"/>
      <c r="U299" s="92"/>
      <c r="V299" s="92"/>
      <c r="W299" s="92"/>
      <c r="X299" s="92"/>
      <c r="Y299" s="92"/>
      <c r="Z299" s="92"/>
      <c r="AA299" s="90"/>
    </row>
    <row r="300" spans="1:27" x14ac:dyDescent="0.35">
      <c r="A300" s="1"/>
      <c r="B300" s="91"/>
      <c r="C300" s="91"/>
      <c r="D300" s="91"/>
      <c r="E300" s="91"/>
      <c r="F300" s="91"/>
      <c r="G300" s="91"/>
      <c r="H300" s="91"/>
      <c r="I300" s="91"/>
      <c r="J300" s="91"/>
      <c r="K300" s="91"/>
      <c r="L300" s="91"/>
      <c r="M300" s="91"/>
      <c r="N300" s="91"/>
      <c r="O300" s="92"/>
      <c r="P300" s="92"/>
      <c r="Q300" s="92"/>
      <c r="R300" s="92"/>
      <c r="S300" s="92"/>
      <c r="T300" s="92"/>
      <c r="U300" s="92"/>
      <c r="V300" s="92"/>
      <c r="W300" s="92"/>
      <c r="X300" s="92"/>
      <c r="Y300" s="92"/>
      <c r="Z300" s="92"/>
      <c r="AA300" s="90"/>
    </row>
    <row r="301" spans="1:27" x14ac:dyDescent="0.35">
      <c r="A301" s="1"/>
      <c r="B301" s="91"/>
      <c r="C301" s="91"/>
      <c r="D301" s="91"/>
      <c r="E301" s="91"/>
      <c r="F301" s="91"/>
      <c r="G301" s="91"/>
      <c r="H301" s="91"/>
      <c r="I301" s="91"/>
      <c r="J301" s="91"/>
      <c r="K301" s="91"/>
      <c r="L301" s="91"/>
      <c r="M301" s="91"/>
      <c r="N301" s="91"/>
      <c r="O301" s="92"/>
      <c r="P301" s="92"/>
      <c r="Q301" s="92"/>
      <c r="R301" s="92"/>
      <c r="S301" s="92"/>
      <c r="T301" s="92"/>
      <c r="U301" s="92"/>
      <c r="V301" s="92"/>
      <c r="W301" s="92"/>
      <c r="X301" s="92"/>
      <c r="Y301" s="92"/>
      <c r="Z301" s="92"/>
      <c r="AA301" s="90"/>
    </row>
    <row r="302" spans="1:27" x14ac:dyDescent="0.35">
      <c r="A302" s="1"/>
      <c r="B302" s="91"/>
      <c r="C302" s="91"/>
      <c r="D302" s="91"/>
      <c r="E302" s="91"/>
      <c r="F302" s="91"/>
      <c r="G302" s="91"/>
      <c r="H302" s="91"/>
      <c r="I302" s="91"/>
      <c r="J302" s="91"/>
      <c r="K302" s="91"/>
      <c r="L302" s="91"/>
      <c r="M302" s="91"/>
      <c r="N302" s="91"/>
      <c r="O302" s="92"/>
      <c r="P302" s="92"/>
      <c r="Q302" s="92"/>
      <c r="R302" s="92"/>
      <c r="S302" s="92"/>
      <c r="T302" s="92"/>
      <c r="U302" s="92"/>
      <c r="V302" s="92"/>
      <c r="W302" s="92"/>
      <c r="X302" s="92"/>
      <c r="Y302" s="92"/>
      <c r="Z302" s="92"/>
      <c r="AA302" s="90"/>
    </row>
    <row r="303" spans="1:27" x14ac:dyDescent="0.35">
      <c r="A303" s="1"/>
      <c r="B303" s="91"/>
      <c r="C303" s="91"/>
      <c r="D303" s="91"/>
      <c r="E303" s="91"/>
      <c r="F303" s="91"/>
      <c r="G303" s="91"/>
      <c r="H303" s="91"/>
      <c r="I303" s="91"/>
      <c r="J303" s="91"/>
      <c r="K303" s="91"/>
      <c r="L303" s="91"/>
      <c r="M303" s="91"/>
      <c r="N303" s="91"/>
      <c r="O303" s="92"/>
      <c r="P303" s="92"/>
      <c r="Q303" s="92"/>
      <c r="R303" s="92"/>
      <c r="S303" s="92"/>
      <c r="T303" s="92"/>
      <c r="U303" s="92"/>
      <c r="V303" s="92"/>
      <c r="W303" s="92"/>
      <c r="X303" s="92"/>
      <c r="Y303" s="92"/>
      <c r="Z303" s="92"/>
      <c r="AA303" s="90"/>
    </row>
    <row r="304" spans="1:27" x14ac:dyDescent="0.35">
      <c r="A304" s="1"/>
      <c r="B304" s="91"/>
      <c r="C304" s="91"/>
      <c r="D304" s="91"/>
      <c r="E304" s="91"/>
      <c r="F304" s="91"/>
      <c r="G304" s="91"/>
      <c r="H304" s="91"/>
      <c r="I304" s="91"/>
      <c r="J304" s="91"/>
      <c r="K304" s="91"/>
      <c r="L304" s="91"/>
      <c r="M304" s="91"/>
      <c r="N304" s="91"/>
      <c r="O304" s="92"/>
      <c r="P304" s="92"/>
      <c r="Q304" s="92"/>
      <c r="R304" s="92"/>
      <c r="S304" s="92"/>
      <c r="T304" s="92"/>
      <c r="U304" s="92"/>
      <c r="V304" s="92"/>
      <c r="W304" s="92"/>
      <c r="X304" s="92"/>
      <c r="Y304" s="92"/>
      <c r="Z304" s="92"/>
      <c r="AA304" s="90"/>
    </row>
    <row r="305" spans="1:27" x14ac:dyDescent="0.35">
      <c r="A305" s="1"/>
      <c r="B305" s="91"/>
      <c r="C305" s="91"/>
      <c r="D305" s="91"/>
      <c r="E305" s="91"/>
      <c r="F305" s="91"/>
      <c r="G305" s="91"/>
      <c r="H305" s="91"/>
      <c r="I305" s="91"/>
      <c r="J305" s="91"/>
      <c r="K305" s="91"/>
      <c r="L305" s="91"/>
      <c r="M305" s="91"/>
      <c r="N305" s="91"/>
      <c r="O305" s="92"/>
      <c r="P305" s="92"/>
      <c r="Q305" s="92"/>
      <c r="R305" s="92"/>
      <c r="S305" s="92"/>
      <c r="T305" s="92"/>
      <c r="U305" s="92"/>
      <c r="V305" s="92"/>
      <c r="W305" s="92"/>
      <c r="X305" s="92"/>
      <c r="Y305" s="92"/>
      <c r="Z305" s="92"/>
      <c r="AA305" s="90"/>
    </row>
    <row r="306" spans="1:27" x14ac:dyDescent="0.35">
      <c r="A306" s="1"/>
      <c r="B306" s="91"/>
      <c r="C306" s="91"/>
      <c r="D306" s="91"/>
      <c r="E306" s="91"/>
      <c r="F306" s="91"/>
      <c r="G306" s="91"/>
      <c r="H306" s="91"/>
      <c r="I306" s="91"/>
      <c r="J306" s="91"/>
      <c r="K306" s="91"/>
      <c r="L306" s="91"/>
      <c r="M306" s="91"/>
      <c r="N306" s="91"/>
      <c r="O306" s="92"/>
      <c r="P306" s="92"/>
      <c r="Q306" s="92"/>
      <c r="R306" s="92"/>
      <c r="S306" s="92"/>
      <c r="T306" s="92"/>
      <c r="U306" s="92"/>
      <c r="V306" s="92"/>
      <c r="W306" s="92"/>
      <c r="X306" s="92"/>
      <c r="Y306" s="92"/>
      <c r="Z306" s="92"/>
      <c r="AA306" s="90"/>
    </row>
    <row r="307" spans="1:27" x14ac:dyDescent="0.35">
      <c r="A307" s="1"/>
      <c r="B307" s="91"/>
      <c r="C307" s="91"/>
      <c r="D307" s="91"/>
      <c r="E307" s="91"/>
      <c r="F307" s="91"/>
      <c r="G307" s="91"/>
      <c r="H307" s="91"/>
      <c r="I307" s="91"/>
      <c r="J307" s="91"/>
      <c r="K307" s="91"/>
      <c r="L307" s="91"/>
      <c r="M307" s="91"/>
      <c r="N307" s="91"/>
      <c r="O307" s="92"/>
      <c r="P307" s="92"/>
      <c r="Q307" s="92"/>
      <c r="R307" s="92"/>
      <c r="S307" s="92"/>
      <c r="T307" s="92"/>
      <c r="U307" s="92"/>
      <c r="V307" s="92"/>
      <c r="W307" s="92"/>
      <c r="X307" s="92"/>
      <c r="Y307" s="92"/>
      <c r="Z307" s="92"/>
      <c r="AA307" s="90"/>
    </row>
    <row r="308" spans="1:27" x14ac:dyDescent="0.35">
      <c r="A308" s="1"/>
      <c r="B308" s="91"/>
      <c r="C308" s="91"/>
      <c r="D308" s="91"/>
      <c r="E308" s="91"/>
      <c r="F308" s="91"/>
      <c r="G308" s="91"/>
      <c r="H308" s="91"/>
      <c r="I308" s="91"/>
      <c r="J308" s="91"/>
      <c r="K308" s="91"/>
      <c r="L308" s="91"/>
      <c r="M308" s="91"/>
      <c r="N308" s="91"/>
      <c r="O308" s="92"/>
      <c r="P308" s="92"/>
      <c r="Q308" s="92"/>
      <c r="R308" s="92"/>
      <c r="S308" s="92"/>
      <c r="T308" s="92"/>
      <c r="U308" s="92"/>
      <c r="V308" s="92"/>
      <c r="W308" s="92"/>
      <c r="X308" s="92"/>
      <c r="Y308" s="92"/>
      <c r="Z308" s="92"/>
      <c r="AA308" s="90"/>
    </row>
    <row r="309" spans="1:27" x14ac:dyDescent="0.35">
      <c r="A309" s="1"/>
      <c r="B309" s="91"/>
      <c r="C309" s="91"/>
      <c r="D309" s="91"/>
      <c r="E309" s="91"/>
      <c r="F309" s="91"/>
      <c r="G309" s="91"/>
      <c r="H309" s="91"/>
      <c r="I309" s="91"/>
      <c r="J309" s="91"/>
      <c r="K309" s="91"/>
      <c r="L309" s="91"/>
      <c r="M309" s="91"/>
      <c r="N309" s="91"/>
      <c r="O309" s="92"/>
      <c r="P309" s="92"/>
      <c r="Q309" s="92"/>
      <c r="R309" s="92"/>
      <c r="S309" s="92"/>
      <c r="T309" s="92"/>
      <c r="U309" s="92"/>
      <c r="V309" s="92"/>
      <c r="W309" s="92"/>
      <c r="X309" s="92"/>
      <c r="Y309" s="92"/>
      <c r="Z309" s="92"/>
      <c r="AA309" s="90"/>
    </row>
    <row r="310" spans="1:27" x14ac:dyDescent="0.35">
      <c r="A310" s="1"/>
      <c r="B310" s="91"/>
      <c r="C310" s="91"/>
      <c r="D310" s="91"/>
      <c r="E310" s="91"/>
      <c r="F310" s="91"/>
      <c r="G310" s="91"/>
      <c r="H310" s="91"/>
      <c r="I310" s="91"/>
      <c r="J310" s="91"/>
      <c r="K310" s="91"/>
      <c r="L310" s="91"/>
      <c r="M310" s="91"/>
      <c r="N310" s="91"/>
      <c r="O310" s="92"/>
      <c r="P310" s="92"/>
      <c r="Q310" s="92"/>
      <c r="R310" s="92"/>
      <c r="S310" s="92"/>
      <c r="T310" s="92"/>
      <c r="U310" s="92"/>
      <c r="V310" s="92"/>
      <c r="W310" s="92"/>
      <c r="X310" s="92"/>
      <c r="Y310" s="92"/>
      <c r="Z310" s="92"/>
      <c r="AA310" s="90"/>
    </row>
    <row r="311" spans="1:27" x14ac:dyDescent="0.35">
      <c r="A311" s="1"/>
      <c r="B311" s="91"/>
      <c r="C311" s="91"/>
      <c r="D311" s="91"/>
      <c r="E311" s="91"/>
      <c r="F311" s="91"/>
      <c r="G311" s="91"/>
      <c r="H311" s="91"/>
      <c r="I311" s="91"/>
      <c r="J311" s="91"/>
      <c r="K311" s="91"/>
      <c r="L311" s="91"/>
      <c r="M311" s="91"/>
      <c r="N311" s="91"/>
      <c r="O311" s="92"/>
      <c r="P311" s="92"/>
      <c r="Q311" s="92"/>
      <c r="R311" s="92"/>
      <c r="S311" s="92"/>
      <c r="T311" s="92"/>
      <c r="U311" s="92"/>
      <c r="V311" s="92"/>
      <c r="W311" s="92"/>
      <c r="X311" s="92"/>
      <c r="Y311" s="92"/>
      <c r="Z311" s="92"/>
      <c r="AA311" s="90"/>
    </row>
    <row r="312" spans="1:27" x14ac:dyDescent="0.35">
      <c r="A312" s="1"/>
      <c r="B312" s="91"/>
      <c r="C312" s="91"/>
      <c r="D312" s="91"/>
      <c r="E312" s="91"/>
      <c r="F312" s="91"/>
      <c r="G312" s="91"/>
      <c r="H312" s="91"/>
      <c r="I312" s="91"/>
      <c r="J312" s="91"/>
      <c r="K312" s="91"/>
      <c r="L312" s="91"/>
      <c r="M312" s="91"/>
      <c r="N312" s="91"/>
      <c r="O312" s="92"/>
      <c r="P312" s="92"/>
      <c r="Q312" s="92"/>
      <c r="R312" s="92"/>
      <c r="S312" s="92"/>
      <c r="T312" s="92"/>
      <c r="U312" s="92"/>
      <c r="V312" s="92"/>
      <c r="W312" s="92"/>
      <c r="X312" s="92"/>
      <c r="Y312" s="92"/>
      <c r="Z312" s="92"/>
      <c r="AA312" s="90"/>
    </row>
    <row r="313" spans="1:27" x14ac:dyDescent="0.35">
      <c r="A313" s="1"/>
      <c r="B313" s="91"/>
      <c r="C313" s="91"/>
      <c r="D313" s="91"/>
      <c r="E313" s="91"/>
      <c r="F313" s="91"/>
      <c r="G313" s="91"/>
      <c r="H313" s="91"/>
      <c r="I313" s="91"/>
      <c r="J313" s="91"/>
      <c r="K313" s="91"/>
      <c r="L313" s="91"/>
      <c r="M313" s="91"/>
      <c r="N313" s="91"/>
      <c r="O313" s="92"/>
      <c r="P313" s="92"/>
      <c r="Q313" s="92"/>
      <c r="R313" s="92"/>
      <c r="S313" s="92"/>
      <c r="T313" s="92"/>
      <c r="U313" s="92"/>
      <c r="V313" s="92"/>
      <c r="W313" s="92"/>
      <c r="X313" s="92"/>
      <c r="Y313" s="92"/>
      <c r="Z313" s="92"/>
      <c r="AA313" s="90"/>
    </row>
    <row r="314" spans="1:27" x14ac:dyDescent="0.35">
      <c r="A314" s="1"/>
      <c r="B314" s="91"/>
      <c r="C314" s="91"/>
      <c r="D314" s="91"/>
      <c r="E314" s="91"/>
      <c r="F314" s="91"/>
      <c r="G314" s="91"/>
      <c r="H314" s="91"/>
      <c r="I314" s="91"/>
      <c r="J314" s="91"/>
      <c r="K314" s="91"/>
      <c r="L314" s="91"/>
      <c r="M314" s="91"/>
      <c r="N314" s="91"/>
      <c r="O314" s="92"/>
      <c r="P314" s="92"/>
      <c r="Q314" s="92"/>
      <c r="R314" s="92"/>
      <c r="S314" s="92"/>
      <c r="T314" s="92"/>
      <c r="U314" s="92"/>
      <c r="V314" s="92"/>
      <c r="W314" s="92"/>
      <c r="X314" s="92"/>
      <c r="Y314" s="92"/>
      <c r="Z314" s="92"/>
      <c r="AA314" s="90"/>
    </row>
    <row r="315" spans="1:27" x14ac:dyDescent="0.35">
      <c r="A315" s="1"/>
      <c r="B315" s="91"/>
      <c r="C315" s="91"/>
      <c r="D315" s="91"/>
      <c r="E315" s="91"/>
      <c r="F315" s="91"/>
      <c r="G315" s="91"/>
      <c r="H315" s="91"/>
      <c r="I315" s="91"/>
      <c r="J315" s="91"/>
      <c r="K315" s="91"/>
      <c r="L315" s="91"/>
      <c r="M315" s="91"/>
      <c r="N315" s="91"/>
      <c r="O315" s="92"/>
      <c r="P315" s="92"/>
      <c r="Q315" s="92"/>
      <c r="R315" s="92"/>
      <c r="S315" s="92"/>
      <c r="T315" s="92"/>
      <c r="U315" s="92"/>
      <c r="V315" s="92"/>
      <c r="W315" s="92"/>
      <c r="X315" s="92"/>
      <c r="Y315" s="92"/>
      <c r="Z315" s="92"/>
      <c r="AA315" s="90"/>
    </row>
    <row r="316" spans="1:27" x14ac:dyDescent="0.35">
      <c r="A316" s="1"/>
      <c r="B316" s="91"/>
      <c r="C316" s="91"/>
      <c r="D316" s="91"/>
      <c r="E316" s="91"/>
      <c r="F316" s="91"/>
      <c r="G316" s="91"/>
      <c r="H316" s="91"/>
      <c r="I316" s="91"/>
      <c r="J316" s="91"/>
      <c r="K316" s="91"/>
      <c r="L316" s="91"/>
      <c r="M316" s="91"/>
      <c r="N316" s="91"/>
      <c r="O316" s="92"/>
      <c r="P316" s="92"/>
      <c r="Q316" s="92"/>
      <c r="R316" s="92"/>
      <c r="S316" s="92"/>
      <c r="T316" s="92"/>
      <c r="U316" s="92"/>
      <c r="V316" s="92"/>
      <c r="W316" s="92"/>
      <c r="X316" s="92"/>
      <c r="Y316" s="92"/>
      <c r="Z316" s="92"/>
      <c r="AA316" s="90"/>
    </row>
    <row r="317" spans="1:27" x14ac:dyDescent="0.35">
      <c r="A317" s="1"/>
      <c r="B317" s="91"/>
      <c r="C317" s="91"/>
      <c r="D317" s="91"/>
      <c r="E317" s="91"/>
      <c r="F317" s="91"/>
      <c r="G317" s="91"/>
      <c r="H317" s="91"/>
      <c r="I317" s="91"/>
      <c r="J317" s="91"/>
      <c r="K317" s="91"/>
      <c r="L317" s="91"/>
      <c r="M317" s="91"/>
      <c r="N317" s="91"/>
      <c r="O317" s="92"/>
      <c r="P317" s="92"/>
      <c r="Q317" s="92"/>
      <c r="R317" s="92"/>
      <c r="S317" s="92"/>
      <c r="T317" s="92"/>
      <c r="U317" s="92"/>
      <c r="V317" s="92"/>
      <c r="W317" s="92"/>
      <c r="X317" s="92"/>
      <c r="Y317" s="92"/>
      <c r="Z317" s="92"/>
      <c r="AA317" s="90"/>
    </row>
    <row r="318" spans="1:27" x14ac:dyDescent="0.35">
      <c r="A318" s="1"/>
      <c r="B318" s="91"/>
      <c r="C318" s="91"/>
      <c r="D318" s="91"/>
      <c r="E318" s="91"/>
      <c r="F318" s="91"/>
      <c r="G318" s="91"/>
      <c r="H318" s="91"/>
      <c r="I318" s="91"/>
      <c r="J318" s="91"/>
      <c r="K318" s="91"/>
      <c r="L318" s="91"/>
      <c r="M318" s="91"/>
      <c r="N318" s="91"/>
      <c r="O318" s="92"/>
      <c r="P318" s="92"/>
      <c r="Q318" s="92"/>
      <c r="R318" s="92"/>
      <c r="S318" s="92"/>
      <c r="T318" s="92"/>
      <c r="U318" s="92"/>
      <c r="V318" s="92"/>
      <c r="W318" s="92"/>
      <c r="X318" s="92"/>
      <c r="Y318" s="92"/>
      <c r="Z318" s="92"/>
      <c r="AA318" s="90"/>
    </row>
    <row r="319" spans="1:27" x14ac:dyDescent="0.35">
      <c r="A319" s="1"/>
      <c r="B319" s="91"/>
      <c r="C319" s="91"/>
      <c r="D319" s="91"/>
      <c r="E319" s="91"/>
      <c r="F319" s="91"/>
      <c r="G319" s="91"/>
      <c r="H319" s="91"/>
      <c r="I319" s="91"/>
      <c r="J319" s="91"/>
      <c r="K319" s="91"/>
      <c r="L319" s="91"/>
      <c r="M319" s="91"/>
      <c r="N319" s="91"/>
      <c r="O319" s="92"/>
      <c r="P319" s="92"/>
      <c r="Q319" s="92"/>
      <c r="R319" s="92"/>
      <c r="S319" s="92"/>
      <c r="T319" s="92"/>
      <c r="U319" s="92"/>
      <c r="V319" s="92"/>
      <c r="W319" s="92"/>
      <c r="X319" s="92"/>
      <c r="Y319" s="92"/>
      <c r="Z319" s="92"/>
      <c r="AA319" s="90"/>
    </row>
    <row r="320" spans="1:27" x14ac:dyDescent="0.35">
      <c r="A320" s="1"/>
      <c r="B320" s="91"/>
      <c r="C320" s="91"/>
      <c r="D320" s="91"/>
      <c r="E320" s="91"/>
      <c r="F320" s="91"/>
      <c r="G320" s="91"/>
      <c r="H320" s="91"/>
      <c r="I320" s="91"/>
      <c r="J320" s="91"/>
      <c r="K320" s="91"/>
      <c r="L320" s="91"/>
      <c r="M320" s="91"/>
      <c r="N320" s="91"/>
      <c r="O320" s="92"/>
      <c r="P320" s="92"/>
      <c r="Q320" s="92"/>
      <c r="R320" s="92"/>
      <c r="S320" s="92"/>
      <c r="T320" s="92"/>
      <c r="U320" s="92"/>
      <c r="V320" s="92"/>
      <c r="W320" s="92"/>
      <c r="X320" s="92"/>
      <c r="Y320" s="92"/>
      <c r="Z320" s="92"/>
      <c r="AA320" s="90"/>
    </row>
    <row r="321" spans="1:27" x14ac:dyDescent="0.35">
      <c r="A321" s="1"/>
      <c r="B321" s="91"/>
      <c r="C321" s="91"/>
      <c r="D321" s="91"/>
      <c r="E321" s="91"/>
      <c r="F321" s="91"/>
      <c r="G321" s="91"/>
      <c r="H321" s="91"/>
      <c r="I321" s="91"/>
      <c r="J321" s="91"/>
      <c r="K321" s="91"/>
      <c r="L321" s="91"/>
      <c r="M321" s="91"/>
      <c r="N321" s="91"/>
      <c r="O321" s="92"/>
      <c r="P321" s="92"/>
      <c r="Q321" s="92"/>
      <c r="R321" s="92"/>
      <c r="S321" s="92"/>
      <c r="T321" s="92"/>
      <c r="U321" s="92"/>
      <c r="V321" s="92"/>
      <c r="W321" s="92"/>
      <c r="X321" s="92"/>
      <c r="Y321" s="92"/>
      <c r="Z321" s="92"/>
      <c r="AA321" s="90"/>
    </row>
    <row r="322" spans="1:27" x14ac:dyDescent="0.35">
      <c r="A322" s="1"/>
      <c r="B322" s="91"/>
      <c r="C322" s="91"/>
      <c r="D322" s="91"/>
      <c r="E322" s="91"/>
      <c r="F322" s="91"/>
      <c r="G322" s="91"/>
      <c r="H322" s="91"/>
      <c r="I322" s="91"/>
      <c r="J322" s="91"/>
      <c r="K322" s="91"/>
      <c r="L322" s="91"/>
      <c r="M322" s="91"/>
      <c r="N322" s="91"/>
      <c r="O322" s="92"/>
      <c r="P322" s="92"/>
      <c r="Q322" s="92"/>
      <c r="R322" s="92"/>
      <c r="S322" s="92"/>
      <c r="T322" s="92"/>
      <c r="U322" s="92"/>
      <c r="V322" s="92"/>
      <c r="W322" s="92"/>
      <c r="X322" s="92"/>
      <c r="Y322" s="92"/>
      <c r="Z322" s="92"/>
      <c r="AA322" s="90"/>
    </row>
    <row r="323" spans="1:27" x14ac:dyDescent="0.35">
      <c r="A323" s="1"/>
      <c r="B323" s="91"/>
      <c r="C323" s="91"/>
      <c r="D323" s="91"/>
      <c r="E323" s="91"/>
      <c r="F323" s="91"/>
      <c r="G323" s="91"/>
      <c r="H323" s="91"/>
      <c r="I323" s="91"/>
      <c r="J323" s="91"/>
      <c r="K323" s="91"/>
      <c r="L323" s="91"/>
      <c r="M323" s="91"/>
      <c r="N323" s="91"/>
      <c r="O323" s="92"/>
      <c r="P323" s="92"/>
      <c r="Q323" s="92"/>
      <c r="R323" s="92"/>
      <c r="S323" s="92"/>
      <c r="T323" s="92"/>
      <c r="U323" s="92"/>
      <c r="V323" s="92"/>
      <c r="W323" s="92"/>
      <c r="X323" s="92"/>
      <c r="Y323" s="92"/>
      <c r="Z323" s="92"/>
      <c r="AA323" s="90"/>
    </row>
    <row r="324" spans="1:27" x14ac:dyDescent="0.35">
      <c r="A324" s="1"/>
      <c r="B324" s="91"/>
      <c r="C324" s="91"/>
      <c r="D324" s="91"/>
      <c r="E324" s="91"/>
      <c r="F324" s="91"/>
      <c r="G324" s="91"/>
      <c r="H324" s="91"/>
      <c r="I324" s="91"/>
      <c r="J324" s="91"/>
      <c r="K324" s="91"/>
      <c r="L324" s="91"/>
      <c r="M324" s="91"/>
      <c r="N324" s="91"/>
      <c r="O324" s="92"/>
      <c r="P324" s="92"/>
      <c r="Q324" s="92"/>
      <c r="R324" s="92"/>
      <c r="S324" s="92"/>
      <c r="T324" s="92"/>
      <c r="U324" s="92"/>
      <c r="V324" s="92"/>
      <c r="W324" s="92"/>
      <c r="X324" s="92"/>
      <c r="Y324" s="92"/>
      <c r="Z324" s="92"/>
      <c r="AA324" s="90"/>
    </row>
    <row r="325" spans="1:27" x14ac:dyDescent="0.35">
      <c r="A325" s="1"/>
      <c r="B325" s="91"/>
      <c r="C325" s="91"/>
      <c r="D325" s="91"/>
      <c r="E325" s="91"/>
      <c r="F325" s="91"/>
      <c r="G325" s="91"/>
      <c r="H325" s="91"/>
      <c r="I325" s="91"/>
      <c r="J325" s="91"/>
      <c r="K325" s="91"/>
      <c r="L325" s="91"/>
      <c r="M325" s="91"/>
      <c r="N325" s="91"/>
      <c r="O325" s="92"/>
      <c r="P325" s="92"/>
      <c r="Q325" s="92"/>
      <c r="R325" s="92"/>
      <c r="S325" s="92"/>
      <c r="T325" s="92"/>
      <c r="U325" s="92"/>
      <c r="V325" s="92"/>
      <c r="W325" s="92"/>
      <c r="X325" s="92"/>
      <c r="Y325" s="92"/>
      <c r="Z325" s="92"/>
      <c r="AA325" s="90"/>
    </row>
    <row r="326" spans="1:27" x14ac:dyDescent="0.35">
      <c r="A326" s="1"/>
      <c r="B326" s="91"/>
      <c r="C326" s="91"/>
      <c r="D326" s="91"/>
      <c r="E326" s="91"/>
      <c r="F326" s="91"/>
      <c r="G326" s="91"/>
      <c r="H326" s="91"/>
      <c r="I326" s="91"/>
      <c r="J326" s="91"/>
      <c r="K326" s="91"/>
      <c r="L326" s="91"/>
      <c r="M326" s="91"/>
      <c r="N326" s="91"/>
      <c r="O326" s="92"/>
      <c r="P326" s="92"/>
      <c r="Q326" s="92"/>
      <c r="R326" s="92"/>
      <c r="S326" s="92"/>
      <c r="T326" s="92"/>
      <c r="U326" s="92"/>
      <c r="V326" s="92"/>
      <c r="W326" s="92"/>
      <c r="X326" s="92"/>
      <c r="Y326" s="92"/>
      <c r="Z326" s="92"/>
      <c r="AA326" s="90"/>
    </row>
    <row r="327" spans="1:27" x14ac:dyDescent="0.35">
      <c r="A327" s="1"/>
      <c r="B327" s="91"/>
      <c r="C327" s="91"/>
      <c r="D327" s="91"/>
      <c r="E327" s="91"/>
      <c r="F327" s="91"/>
      <c r="G327" s="91"/>
      <c r="H327" s="91"/>
      <c r="I327" s="91"/>
      <c r="J327" s="91"/>
      <c r="K327" s="91"/>
      <c r="L327" s="91"/>
      <c r="M327" s="91"/>
      <c r="N327" s="91"/>
      <c r="O327" s="92"/>
      <c r="P327" s="92"/>
      <c r="Q327" s="92"/>
      <c r="R327" s="92"/>
      <c r="S327" s="92"/>
      <c r="T327" s="92"/>
      <c r="U327" s="92"/>
      <c r="V327" s="92"/>
      <c r="W327" s="92"/>
      <c r="X327" s="92"/>
      <c r="Y327" s="92"/>
      <c r="Z327" s="92"/>
      <c r="AA327" s="90"/>
    </row>
    <row r="328" spans="1:27" x14ac:dyDescent="0.35">
      <c r="A328" s="1"/>
      <c r="B328" s="91"/>
      <c r="C328" s="91"/>
      <c r="D328" s="91"/>
      <c r="E328" s="91"/>
      <c r="F328" s="91"/>
      <c r="G328" s="91"/>
      <c r="H328" s="91"/>
      <c r="I328" s="91"/>
      <c r="J328" s="91"/>
      <c r="K328" s="91"/>
      <c r="L328" s="91"/>
      <c r="M328" s="91"/>
      <c r="N328" s="91"/>
      <c r="O328" s="92"/>
      <c r="P328" s="92"/>
      <c r="Q328" s="92"/>
      <c r="R328" s="92"/>
      <c r="S328" s="92"/>
      <c r="T328" s="92"/>
      <c r="U328" s="92"/>
      <c r="V328" s="92"/>
      <c r="W328" s="92"/>
      <c r="X328" s="92"/>
      <c r="Y328" s="92"/>
      <c r="Z328" s="92"/>
      <c r="AA328" s="90"/>
    </row>
    <row r="329" spans="1:27" x14ac:dyDescent="0.35">
      <c r="A329" s="1"/>
      <c r="B329" s="91"/>
      <c r="C329" s="91"/>
      <c r="D329" s="91"/>
      <c r="E329" s="91"/>
      <c r="F329" s="91"/>
      <c r="G329" s="91"/>
      <c r="H329" s="91"/>
      <c r="I329" s="91"/>
      <c r="J329" s="91"/>
      <c r="K329" s="91"/>
      <c r="L329" s="91"/>
      <c r="M329" s="91"/>
      <c r="N329" s="91"/>
      <c r="O329" s="92"/>
      <c r="P329" s="92"/>
      <c r="Q329" s="92"/>
      <c r="R329" s="92"/>
      <c r="S329" s="92"/>
      <c r="T329" s="92"/>
      <c r="U329" s="92"/>
      <c r="V329" s="92"/>
      <c r="W329" s="92"/>
      <c r="X329" s="92"/>
      <c r="Y329" s="92"/>
      <c r="Z329" s="92"/>
      <c r="AA329" s="90"/>
    </row>
    <row r="330" spans="1:27" x14ac:dyDescent="0.35">
      <c r="A330" s="1"/>
      <c r="B330" s="91"/>
      <c r="C330" s="91"/>
      <c r="D330" s="91"/>
      <c r="E330" s="91"/>
      <c r="F330" s="91"/>
      <c r="G330" s="91"/>
      <c r="H330" s="91"/>
      <c r="I330" s="91"/>
      <c r="J330" s="91"/>
      <c r="K330" s="91"/>
      <c r="L330" s="91"/>
      <c r="M330" s="91"/>
      <c r="N330" s="91"/>
      <c r="O330" s="92"/>
      <c r="P330" s="92"/>
      <c r="Q330" s="92"/>
      <c r="R330" s="92"/>
      <c r="S330" s="92"/>
      <c r="T330" s="92"/>
      <c r="U330" s="92"/>
      <c r="V330" s="92"/>
      <c r="W330" s="92"/>
      <c r="X330" s="92"/>
      <c r="Y330" s="92"/>
      <c r="Z330" s="92"/>
      <c r="AA330" s="90"/>
    </row>
    <row r="331" spans="1:27" x14ac:dyDescent="0.35">
      <c r="A331" s="1"/>
      <c r="B331" s="91"/>
      <c r="C331" s="91"/>
      <c r="D331" s="91"/>
      <c r="E331" s="91"/>
      <c r="F331" s="91"/>
      <c r="G331" s="91"/>
      <c r="H331" s="91"/>
      <c r="I331" s="91"/>
      <c r="J331" s="91"/>
      <c r="K331" s="91"/>
      <c r="L331" s="91"/>
      <c r="M331" s="91"/>
      <c r="N331" s="91"/>
      <c r="O331" s="92"/>
      <c r="P331" s="92"/>
      <c r="Q331" s="92"/>
      <c r="R331" s="92"/>
      <c r="S331" s="92"/>
      <c r="T331" s="92"/>
      <c r="U331" s="92"/>
      <c r="V331" s="92"/>
      <c r="W331" s="92"/>
      <c r="X331" s="92"/>
      <c r="Y331" s="92"/>
      <c r="Z331" s="92"/>
      <c r="AA331" s="90"/>
    </row>
    <row r="332" spans="1:27" x14ac:dyDescent="0.35">
      <c r="A332" s="1"/>
      <c r="B332" s="91"/>
      <c r="C332" s="91"/>
      <c r="D332" s="91"/>
      <c r="E332" s="91"/>
      <c r="F332" s="91"/>
      <c r="G332" s="91"/>
      <c r="H332" s="91"/>
      <c r="I332" s="91"/>
      <c r="J332" s="91"/>
      <c r="K332" s="91"/>
      <c r="L332" s="91"/>
      <c r="M332" s="91"/>
      <c r="N332" s="91"/>
      <c r="O332" s="92"/>
      <c r="P332" s="92"/>
      <c r="Q332" s="92"/>
      <c r="R332" s="92"/>
      <c r="S332" s="92"/>
      <c r="T332" s="92"/>
      <c r="U332" s="92"/>
      <c r="V332" s="92"/>
      <c r="W332" s="92"/>
      <c r="X332" s="92"/>
      <c r="Y332" s="92"/>
      <c r="Z332" s="92"/>
      <c r="AA332" s="90"/>
    </row>
    <row r="333" spans="1:27" x14ac:dyDescent="0.35">
      <c r="A333" s="1"/>
      <c r="B333" s="91"/>
      <c r="C333" s="91"/>
      <c r="D333" s="91"/>
      <c r="E333" s="91"/>
      <c r="F333" s="91"/>
      <c r="G333" s="91"/>
      <c r="H333" s="91"/>
      <c r="I333" s="91"/>
      <c r="J333" s="91"/>
      <c r="K333" s="91"/>
      <c r="L333" s="91"/>
      <c r="M333" s="91"/>
      <c r="N333" s="91"/>
      <c r="O333" s="92"/>
      <c r="P333" s="92"/>
      <c r="Q333" s="92"/>
      <c r="R333" s="92"/>
      <c r="S333" s="92"/>
      <c r="T333" s="92"/>
      <c r="U333" s="92"/>
      <c r="V333" s="92"/>
      <c r="W333" s="92"/>
      <c r="X333" s="92"/>
      <c r="Y333" s="92"/>
      <c r="Z333" s="92"/>
      <c r="AA333" s="90"/>
    </row>
    <row r="334" spans="1:27" x14ac:dyDescent="0.35">
      <c r="A334" s="1"/>
      <c r="B334" s="91"/>
      <c r="C334" s="91"/>
      <c r="D334" s="91"/>
      <c r="E334" s="91"/>
      <c r="F334" s="91"/>
      <c r="G334" s="91"/>
      <c r="H334" s="91"/>
      <c r="I334" s="91"/>
      <c r="J334" s="91"/>
      <c r="K334" s="91"/>
      <c r="L334" s="91"/>
      <c r="M334" s="91"/>
      <c r="N334" s="91"/>
      <c r="O334" s="92"/>
      <c r="P334" s="92"/>
      <c r="Q334" s="92"/>
      <c r="R334" s="92"/>
      <c r="S334" s="92"/>
      <c r="T334" s="92"/>
      <c r="U334" s="92"/>
      <c r="V334" s="92"/>
      <c r="W334" s="92"/>
      <c r="X334" s="92"/>
      <c r="Y334" s="92"/>
      <c r="Z334" s="92"/>
      <c r="AA334" s="90"/>
    </row>
    <row r="335" spans="1:27" x14ac:dyDescent="0.35">
      <c r="A335" s="1"/>
      <c r="B335" s="91"/>
      <c r="C335" s="91"/>
      <c r="D335" s="91"/>
      <c r="E335" s="91"/>
      <c r="F335" s="91"/>
      <c r="G335" s="91"/>
      <c r="H335" s="91"/>
      <c r="I335" s="91"/>
      <c r="J335" s="91"/>
      <c r="K335" s="91"/>
      <c r="L335" s="91"/>
      <c r="M335" s="91"/>
      <c r="N335" s="91"/>
      <c r="O335" s="92"/>
      <c r="P335" s="92"/>
      <c r="Q335" s="92"/>
      <c r="R335" s="92"/>
      <c r="S335" s="92"/>
      <c r="T335" s="92"/>
      <c r="U335" s="92"/>
      <c r="V335" s="92"/>
      <c r="W335" s="92"/>
      <c r="X335" s="92"/>
      <c r="Y335" s="92"/>
      <c r="Z335" s="92"/>
      <c r="AA335" s="90"/>
    </row>
    <row r="336" spans="1:27" x14ac:dyDescent="0.35">
      <c r="A336" s="1"/>
      <c r="B336" s="91"/>
      <c r="C336" s="91"/>
      <c r="D336" s="91"/>
      <c r="E336" s="91"/>
      <c r="F336" s="91"/>
      <c r="G336" s="91"/>
      <c r="H336" s="91"/>
      <c r="I336" s="91"/>
      <c r="J336" s="91"/>
      <c r="K336" s="91"/>
      <c r="L336" s="91"/>
      <c r="M336" s="91"/>
      <c r="N336" s="91"/>
      <c r="O336" s="92"/>
      <c r="P336" s="92"/>
      <c r="Q336" s="92"/>
      <c r="R336" s="92"/>
      <c r="S336" s="92"/>
      <c r="T336" s="92"/>
      <c r="U336" s="92"/>
      <c r="V336" s="92"/>
      <c r="W336" s="92"/>
      <c r="X336" s="92"/>
      <c r="Y336" s="92"/>
      <c r="Z336" s="92"/>
      <c r="AA336" s="90"/>
    </row>
    <row r="337" spans="1:27" x14ac:dyDescent="0.35">
      <c r="A337" s="1"/>
      <c r="B337" s="91"/>
      <c r="C337" s="91"/>
      <c r="D337" s="91"/>
      <c r="E337" s="91"/>
      <c r="F337" s="91"/>
      <c r="G337" s="91"/>
      <c r="H337" s="91"/>
      <c r="I337" s="91"/>
      <c r="J337" s="91"/>
      <c r="K337" s="91"/>
      <c r="L337" s="91"/>
      <c r="M337" s="91"/>
      <c r="N337" s="91"/>
      <c r="O337" s="92"/>
      <c r="P337" s="92"/>
      <c r="Q337" s="92"/>
      <c r="R337" s="92"/>
      <c r="S337" s="92"/>
      <c r="T337" s="92"/>
      <c r="U337" s="92"/>
      <c r="V337" s="92"/>
      <c r="W337" s="92"/>
      <c r="X337" s="92"/>
      <c r="Y337" s="92"/>
      <c r="Z337" s="92"/>
      <c r="AA337" s="90"/>
    </row>
    <row r="338" spans="1:27" x14ac:dyDescent="0.35">
      <c r="A338" s="1"/>
      <c r="B338" s="91"/>
      <c r="C338" s="91"/>
      <c r="D338" s="91"/>
      <c r="E338" s="91"/>
      <c r="F338" s="91"/>
      <c r="G338" s="91"/>
      <c r="H338" s="91"/>
      <c r="I338" s="91"/>
      <c r="J338" s="91"/>
      <c r="K338" s="91"/>
      <c r="L338" s="91"/>
      <c r="M338" s="91"/>
      <c r="N338" s="91"/>
      <c r="O338" s="92"/>
      <c r="P338" s="92"/>
      <c r="Q338" s="92"/>
      <c r="R338" s="92"/>
      <c r="S338" s="92"/>
      <c r="T338" s="92"/>
      <c r="U338" s="92"/>
      <c r="V338" s="92"/>
      <c r="W338" s="92"/>
      <c r="X338" s="92"/>
      <c r="Y338" s="92"/>
      <c r="Z338" s="92"/>
      <c r="AA338" s="90"/>
    </row>
    <row r="339" spans="1:27" x14ac:dyDescent="0.35">
      <c r="A339" s="1"/>
      <c r="B339" s="91"/>
      <c r="C339" s="91"/>
      <c r="D339" s="91"/>
      <c r="E339" s="91"/>
      <c r="F339" s="91"/>
      <c r="G339" s="91"/>
      <c r="H339" s="91"/>
      <c r="I339" s="91"/>
      <c r="J339" s="91"/>
      <c r="K339" s="91"/>
      <c r="L339" s="91"/>
      <c r="M339" s="91"/>
      <c r="N339" s="91"/>
      <c r="O339" s="92"/>
      <c r="P339" s="92"/>
      <c r="Q339" s="92"/>
      <c r="R339" s="92"/>
      <c r="S339" s="92"/>
      <c r="T339" s="92"/>
      <c r="U339" s="92"/>
      <c r="V339" s="92"/>
      <c r="W339" s="92"/>
      <c r="X339" s="92"/>
      <c r="Y339" s="92"/>
      <c r="Z339" s="92"/>
      <c r="AA339" s="90"/>
    </row>
    <row r="340" spans="1:27" x14ac:dyDescent="0.35">
      <c r="A340" s="1"/>
      <c r="B340" s="91"/>
      <c r="C340" s="91"/>
      <c r="D340" s="91"/>
      <c r="E340" s="91"/>
      <c r="F340" s="91"/>
      <c r="G340" s="91"/>
      <c r="H340" s="91"/>
      <c r="I340" s="91"/>
      <c r="J340" s="91"/>
      <c r="K340" s="91"/>
      <c r="L340" s="91"/>
      <c r="M340" s="91"/>
      <c r="N340" s="91"/>
      <c r="O340" s="92"/>
      <c r="P340" s="92"/>
      <c r="Q340" s="92"/>
      <c r="R340" s="92"/>
      <c r="S340" s="92"/>
      <c r="T340" s="92"/>
      <c r="U340" s="92"/>
      <c r="V340" s="92"/>
      <c r="W340" s="92"/>
      <c r="X340" s="92"/>
      <c r="Y340" s="92"/>
      <c r="Z340" s="92"/>
      <c r="AA340" s="90"/>
    </row>
    <row r="341" spans="1:27" x14ac:dyDescent="0.35">
      <c r="A341" s="1"/>
      <c r="B341" s="91"/>
      <c r="C341" s="91"/>
      <c r="D341" s="91"/>
      <c r="E341" s="91"/>
      <c r="F341" s="91"/>
      <c r="G341" s="91"/>
      <c r="H341" s="91"/>
      <c r="I341" s="91"/>
      <c r="J341" s="91"/>
      <c r="K341" s="91"/>
      <c r="L341" s="91"/>
      <c r="M341" s="91"/>
      <c r="N341" s="91"/>
      <c r="O341" s="92"/>
      <c r="P341" s="92"/>
      <c r="Q341" s="92"/>
      <c r="R341" s="92"/>
      <c r="S341" s="92"/>
      <c r="T341" s="92"/>
      <c r="U341" s="92"/>
      <c r="V341" s="92"/>
      <c r="W341" s="92"/>
      <c r="X341" s="92"/>
      <c r="Y341" s="92"/>
      <c r="Z341" s="92"/>
      <c r="AA341" s="90"/>
    </row>
    <row r="342" spans="1:27" x14ac:dyDescent="0.35">
      <c r="A342" s="1"/>
      <c r="B342" s="91"/>
      <c r="C342" s="91"/>
      <c r="D342" s="91"/>
      <c r="E342" s="91"/>
      <c r="F342" s="91"/>
      <c r="G342" s="91"/>
      <c r="H342" s="91"/>
      <c r="I342" s="91"/>
      <c r="J342" s="91"/>
      <c r="K342" s="91"/>
      <c r="L342" s="91"/>
      <c r="M342" s="91"/>
      <c r="N342" s="91"/>
      <c r="O342" s="92"/>
      <c r="P342" s="92"/>
      <c r="Q342" s="92"/>
      <c r="R342" s="92"/>
      <c r="S342" s="92"/>
      <c r="T342" s="92"/>
      <c r="U342" s="92"/>
      <c r="V342" s="92"/>
      <c r="W342" s="92"/>
      <c r="X342" s="92"/>
      <c r="Y342" s="92"/>
      <c r="Z342" s="92"/>
      <c r="AA342" s="90"/>
    </row>
    <row r="343" spans="1:27" x14ac:dyDescent="0.35">
      <c r="A343" s="1"/>
      <c r="B343" s="91"/>
      <c r="C343" s="91"/>
      <c r="D343" s="91"/>
      <c r="E343" s="91"/>
      <c r="F343" s="91"/>
      <c r="G343" s="91"/>
      <c r="H343" s="91"/>
      <c r="I343" s="91"/>
      <c r="J343" s="91"/>
      <c r="K343" s="91"/>
      <c r="L343" s="91"/>
      <c r="M343" s="91"/>
      <c r="N343" s="91"/>
      <c r="O343" s="92"/>
      <c r="P343" s="92"/>
      <c r="Q343" s="92"/>
      <c r="R343" s="92"/>
      <c r="S343" s="92"/>
      <c r="T343" s="92"/>
      <c r="U343" s="92"/>
      <c r="V343" s="92"/>
      <c r="W343" s="92"/>
      <c r="X343" s="92"/>
      <c r="Y343" s="92"/>
      <c r="Z343" s="92"/>
      <c r="AA343" s="90"/>
    </row>
    <row r="344" spans="1:27" x14ac:dyDescent="0.35">
      <c r="A344" s="1"/>
      <c r="B344" s="91"/>
      <c r="C344" s="91"/>
      <c r="D344" s="91"/>
      <c r="E344" s="91"/>
      <c r="F344" s="91"/>
      <c r="G344" s="91"/>
      <c r="H344" s="91"/>
      <c r="I344" s="91"/>
      <c r="J344" s="91"/>
      <c r="K344" s="91"/>
      <c r="L344" s="91"/>
      <c r="M344" s="91"/>
      <c r="N344" s="91"/>
      <c r="O344" s="92"/>
      <c r="P344" s="92"/>
      <c r="Q344" s="92"/>
      <c r="R344" s="92"/>
      <c r="S344" s="92"/>
      <c r="T344" s="92"/>
      <c r="U344" s="92"/>
      <c r="V344" s="92"/>
      <c r="W344" s="92"/>
      <c r="X344" s="92"/>
      <c r="Y344" s="92"/>
      <c r="Z344" s="92"/>
      <c r="AA344" s="90"/>
    </row>
    <row r="345" spans="1:27" x14ac:dyDescent="0.35">
      <c r="A345" s="1"/>
      <c r="B345" s="91"/>
      <c r="C345" s="91"/>
      <c r="D345" s="91"/>
      <c r="E345" s="91"/>
      <c r="F345" s="91"/>
      <c r="G345" s="91"/>
      <c r="H345" s="91"/>
      <c r="I345" s="91"/>
      <c r="J345" s="91"/>
      <c r="K345" s="91"/>
      <c r="L345" s="91"/>
      <c r="M345" s="91"/>
      <c r="N345" s="91"/>
      <c r="O345" s="92"/>
      <c r="P345" s="92"/>
      <c r="Q345" s="92"/>
      <c r="R345" s="92"/>
      <c r="S345" s="92"/>
      <c r="T345" s="92"/>
      <c r="U345" s="92"/>
      <c r="V345" s="92"/>
      <c r="W345" s="92"/>
      <c r="X345" s="92"/>
      <c r="Y345" s="92"/>
      <c r="Z345" s="92"/>
      <c r="AA345" s="90"/>
    </row>
    <row r="346" spans="1:27" x14ac:dyDescent="0.35">
      <c r="A346" s="1"/>
      <c r="B346" s="91"/>
      <c r="C346" s="91"/>
      <c r="D346" s="91"/>
      <c r="E346" s="91"/>
      <c r="F346" s="91"/>
      <c r="G346" s="91"/>
      <c r="H346" s="91"/>
      <c r="I346" s="91"/>
      <c r="J346" s="91"/>
      <c r="K346" s="91"/>
      <c r="L346" s="91"/>
      <c r="M346" s="91"/>
      <c r="N346" s="91"/>
      <c r="O346" s="92"/>
      <c r="P346" s="92"/>
      <c r="Q346" s="92"/>
      <c r="R346" s="92"/>
      <c r="S346" s="92"/>
      <c r="T346" s="92"/>
      <c r="U346" s="92"/>
      <c r="V346" s="92"/>
      <c r="W346" s="92"/>
      <c r="X346" s="92"/>
      <c r="Y346" s="92"/>
      <c r="Z346" s="92"/>
      <c r="AA346" s="90"/>
    </row>
    <row r="347" spans="1:27" x14ac:dyDescent="0.35">
      <c r="A347" s="1"/>
      <c r="B347" s="91"/>
      <c r="C347" s="91"/>
      <c r="D347" s="91"/>
      <c r="E347" s="91"/>
      <c r="F347" s="91"/>
      <c r="G347" s="91"/>
      <c r="H347" s="91"/>
      <c r="I347" s="91"/>
      <c r="J347" s="91"/>
      <c r="K347" s="91"/>
      <c r="L347" s="91"/>
      <c r="M347" s="91"/>
      <c r="N347" s="91"/>
      <c r="O347" s="92"/>
      <c r="P347" s="92"/>
      <c r="Q347" s="92"/>
      <c r="R347" s="92"/>
      <c r="S347" s="92"/>
      <c r="T347" s="92"/>
      <c r="U347" s="92"/>
      <c r="V347" s="92"/>
      <c r="W347" s="92"/>
      <c r="X347" s="92"/>
      <c r="Y347" s="92"/>
      <c r="Z347" s="92"/>
      <c r="AA347" s="90"/>
    </row>
    <row r="348" spans="1:27" x14ac:dyDescent="0.35">
      <c r="A348" s="1"/>
      <c r="B348" s="91"/>
      <c r="C348" s="91"/>
      <c r="D348" s="91"/>
      <c r="E348" s="91"/>
      <c r="F348" s="91"/>
      <c r="G348" s="91"/>
      <c r="H348" s="91"/>
      <c r="I348" s="91"/>
      <c r="J348" s="91"/>
      <c r="K348" s="91"/>
      <c r="L348" s="91"/>
      <c r="M348" s="91"/>
      <c r="N348" s="91"/>
      <c r="O348" s="92"/>
      <c r="P348" s="92"/>
      <c r="Q348" s="92"/>
      <c r="R348" s="92"/>
      <c r="S348" s="92"/>
      <c r="T348" s="92"/>
      <c r="U348" s="92"/>
      <c r="V348" s="92"/>
      <c r="W348" s="92"/>
      <c r="X348" s="92"/>
      <c r="Y348" s="92"/>
      <c r="Z348" s="92"/>
      <c r="AA348" s="90"/>
    </row>
    <row r="349" spans="1:27" x14ac:dyDescent="0.35">
      <c r="A349" s="1"/>
      <c r="B349" s="91"/>
      <c r="C349" s="91"/>
      <c r="D349" s="91"/>
      <c r="E349" s="91"/>
      <c r="F349" s="91"/>
      <c r="G349" s="91"/>
      <c r="H349" s="91"/>
      <c r="I349" s="91"/>
      <c r="J349" s="91"/>
      <c r="K349" s="91"/>
      <c r="L349" s="91"/>
      <c r="M349" s="91"/>
      <c r="N349" s="91"/>
      <c r="O349" s="92"/>
      <c r="P349" s="92"/>
      <c r="Q349" s="92"/>
      <c r="R349" s="92"/>
      <c r="S349" s="92"/>
      <c r="T349" s="92"/>
      <c r="U349" s="92"/>
      <c r="V349" s="92"/>
      <c r="W349" s="92"/>
      <c r="X349" s="92"/>
      <c r="Y349" s="92"/>
      <c r="Z349" s="92"/>
      <c r="AA349" s="90"/>
    </row>
    <row r="350" spans="1:27" x14ac:dyDescent="0.35">
      <c r="A350" s="1"/>
      <c r="B350" s="91"/>
      <c r="C350" s="91"/>
      <c r="D350" s="91"/>
      <c r="E350" s="91"/>
      <c r="F350" s="91"/>
      <c r="G350" s="91"/>
      <c r="H350" s="91"/>
      <c r="I350" s="91"/>
      <c r="J350" s="91"/>
      <c r="K350" s="91"/>
      <c r="L350" s="91"/>
      <c r="M350" s="91"/>
      <c r="N350" s="91"/>
      <c r="O350" s="92"/>
      <c r="P350" s="92"/>
      <c r="Q350" s="92"/>
      <c r="R350" s="92"/>
      <c r="S350" s="92"/>
      <c r="T350" s="92"/>
      <c r="U350" s="92"/>
      <c r="V350" s="92"/>
      <c r="W350" s="92"/>
      <c r="X350" s="92"/>
      <c r="Y350" s="92"/>
      <c r="Z350" s="92"/>
      <c r="AA350" s="90"/>
    </row>
    <row r="351" spans="1:27" x14ac:dyDescent="0.35">
      <c r="A351" s="1"/>
      <c r="B351" s="91"/>
      <c r="C351" s="91"/>
      <c r="D351" s="91"/>
      <c r="E351" s="91"/>
      <c r="F351" s="91"/>
      <c r="G351" s="91"/>
      <c r="H351" s="91"/>
      <c r="I351" s="91"/>
      <c r="J351" s="91"/>
      <c r="K351" s="91"/>
      <c r="L351" s="91"/>
      <c r="M351" s="91"/>
      <c r="N351" s="91"/>
      <c r="O351" s="92"/>
      <c r="P351" s="92"/>
      <c r="Q351" s="92"/>
      <c r="R351" s="92"/>
      <c r="S351" s="92"/>
      <c r="T351" s="92"/>
      <c r="U351" s="92"/>
      <c r="V351" s="92"/>
      <c r="W351" s="92"/>
      <c r="X351" s="92"/>
      <c r="Y351" s="92"/>
      <c r="Z351" s="92"/>
      <c r="AA351" s="90"/>
    </row>
    <row r="352" spans="1:27" x14ac:dyDescent="0.35">
      <c r="A352" s="1"/>
      <c r="B352" s="91"/>
      <c r="C352" s="91"/>
      <c r="D352" s="91"/>
      <c r="E352" s="91"/>
      <c r="F352" s="91"/>
      <c r="G352" s="91"/>
      <c r="H352" s="91"/>
      <c r="I352" s="91"/>
      <c r="J352" s="91"/>
      <c r="K352" s="91"/>
      <c r="L352" s="91"/>
      <c r="M352" s="91"/>
      <c r="N352" s="91"/>
      <c r="O352" s="92"/>
      <c r="P352" s="92"/>
      <c r="Q352" s="92"/>
      <c r="R352" s="92"/>
      <c r="S352" s="92"/>
      <c r="T352" s="92"/>
      <c r="U352" s="92"/>
      <c r="V352" s="92"/>
      <c r="W352" s="92"/>
      <c r="X352" s="92"/>
      <c r="Y352" s="92"/>
      <c r="Z352" s="92"/>
      <c r="AA352" s="90"/>
    </row>
    <row r="353" spans="1:27" x14ac:dyDescent="0.35">
      <c r="A353" s="1"/>
      <c r="B353" s="91"/>
      <c r="C353" s="91"/>
      <c r="D353" s="91"/>
      <c r="E353" s="91"/>
      <c r="F353" s="91"/>
      <c r="G353" s="91"/>
      <c r="H353" s="91"/>
      <c r="I353" s="91"/>
      <c r="J353" s="91"/>
      <c r="K353" s="91"/>
      <c r="L353" s="91"/>
      <c r="M353" s="91"/>
      <c r="N353" s="91"/>
      <c r="O353" s="92"/>
      <c r="P353" s="92"/>
      <c r="Q353" s="92"/>
      <c r="R353" s="92"/>
      <c r="S353" s="92"/>
      <c r="T353" s="92"/>
      <c r="U353" s="92"/>
      <c r="V353" s="92"/>
      <c r="W353" s="92"/>
      <c r="X353" s="92"/>
      <c r="Y353" s="92"/>
      <c r="Z353" s="92"/>
      <c r="AA353" s="90"/>
    </row>
    <row r="354" spans="1:27" x14ac:dyDescent="0.35">
      <c r="A354" s="1"/>
      <c r="B354" s="91"/>
      <c r="C354" s="91"/>
      <c r="D354" s="91"/>
      <c r="E354" s="91"/>
      <c r="F354" s="91"/>
      <c r="G354" s="91"/>
      <c r="H354" s="91"/>
      <c r="I354" s="91"/>
      <c r="J354" s="91"/>
      <c r="K354" s="91"/>
      <c r="L354" s="91"/>
      <c r="M354" s="91"/>
      <c r="N354" s="91"/>
      <c r="O354" s="92"/>
      <c r="P354" s="92"/>
      <c r="Q354" s="92"/>
      <c r="R354" s="92"/>
      <c r="S354" s="92"/>
      <c r="T354" s="92"/>
      <c r="U354" s="92"/>
      <c r="V354" s="92"/>
      <c r="W354" s="92"/>
      <c r="X354" s="92"/>
      <c r="Y354" s="92"/>
      <c r="Z354" s="92"/>
      <c r="AA354" s="90"/>
    </row>
    <row r="355" spans="1:27" x14ac:dyDescent="0.35">
      <c r="A355" s="1"/>
      <c r="B355" s="91"/>
      <c r="C355" s="91"/>
      <c r="D355" s="91"/>
      <c r="E355" s="91"/>
      <c r="F355" s="91"/>
      <c r="G355" s="91"/>
      <c r="H355" s="91"/>
      <c r="I355" s="91"/>
      <c r="J355" s="91"/>
      <c r="K355" s="91"/>
      <c r="L355" s="91"/>
      <c r="M355" s="91"/>
      <c r="N355" s="91"/>
      <c r="O355" s="92"/>
      <c r="P355" s="92"/>
      <c r="Q355" s="92"/>
      <c r="R355" s="92"/>
      <c r="S355" s="92"/>
      <c r="T355" s="92"/>
      <c r="U355" s="92"/>
      <c r="V355" s="92"/>
      <c r="W355" s="92"/>
      <c r="X355" s="92"/>
      <c r="Y355" s="92"/>
      <c r="Z355" s="92"/>
      <c r="AA355" s="90"/>
    </row>
    <row r="356" spans="1:27" x14ac:dyDescent="0.35">
      <c r="A356" s="1"/>
      <c r="B356" s="91"/>
      <c r="C356" s="91"/>
      <c r="D356" s="91"/>
      <c r="E356" s="91"/>
      <c r="F356" s="91"/>
      <c r="G356" s="91"/>
      <c r="H356" s="91"/>
      <c r="I356" s="91"/>
      <c r="J356" s="91"/>
      <c r="K356" s="91"/>
      <c r="L356" s="91"/>
      <c r="M356" s="91"/>
      <c r="N356" s="91"/>
      <c r="O356" s="92"/>
      <c r="P356" s="92"/>
      <c r="Q356" s="92"/>
      <c r="R356" s="92"/>
      <c r="S356" s="92"/>
      <c r="T356" s="92"/>
      <c r="U356" s="92"/>
      <c r="V356" s="92"/>
      <c r="W356" s="92"/>
      <c r="X356" s="92"/>
      <c r="Y356" s="92"/>
      <c r="Z356" s="92"/>
      <c r="AA356" s="90"/>
    </row>
    <row r="357" spans="1:27" x14ac:dyDescent="0.35">
      <c r="A357" s="1"/>
      <c r="B357" s="91"/>
      <c r="C357" s="91"/>
      <c r="D357" s="91"/>
      <c r="E357" s="91"/>
      <c r="F357" s="91"/>
      <c r="G357" s="91"/>
      <c r="H357" s="91"/>
      <c r="I357" s="91"/>
      <c r="J357" s="91"/>
      <c r="K357" s="91"/>
      <c r="L357" s="91"/>
      <c r="M357" s="91"/>
      <c r="N357" s="91"/>
      <c r="O357" s="92"/>
      <c r="P357" s="92"/>
      <c r="Q357" s="92"/>
      <c r="R357" s="92"/>
      <c r="S357" s="92"/>
      <c r="T357" s="92"/>
      <c r="U357" s="92"/>
      <c r="V357" s="92"/>
      <c r="W357" s="92"/>
      <c r="X357" s="92"/>
      <c r="Y357" s="92"/>
      <c r="Z357" s="92"/>
      <c r="AA357" s="90"/>
    </row>
    <row r="358" spans="1:27" x14ac:dyDescent="0.35">
      <c r="A358" s="1"/>
      <c r="B358" s="91"/>
      <c r="C358" s="91"/>
      <c r="D358" s="91"/>
      <c r="E358" s="91"/>
      <c r="F358" s="91"/>
      <c r="G358" s="91"/>
      <c r="H358" s="91"/>
      <c r="I358" s="91"/>
      <c r="J358" s="91"/>
      <c r="K358" s="91"/>
      <c r="L358" s="91"/>
      <c r="M358" s="91"/>
      <c r="N358" s="91"/>
      <c r="O358" s="92"/>
      <c r="P358" s="92"/>
      <c r="Q358" s="92"/>
      <c r="R358" s="92"/>
      <c r="S358" s="92"/>
      <c r="T358" s="92"/>
      <c r="U358" s="92"/>
      <c r="V358" s="92"/>
      <c r="W358" s="92"/>
      <c r="X358" s="92"/>
      <c r="Y358" s="92"/>
      <c r="Z358" s="92"/>
      <c r="AA358" s="90"/>
    </row>
    <row r="359" spans="1:27" x14ac:dyDescent="0.35">
      <c r="A359" s="1"/>
      <c r="B359" s="91"/>
      <c r="C359" s="91"/>
      <c r="D359" s="91"/>
      <c r="E359" s="91"/>
      <c r="F359" s="91"/>
      <c r="G359" s="91"/>
      <c r="H359" s="91"/>
      <c r="I359" s="91"/>
      <c r="J359" s="91"/>
      <c r="K359" s="91"/>
      <c r="L359" s="91"/>
      <c r="M359" s="91"/>
      <c r="N359" s="91"/>
      <c r="O359" s="92"/>
      <c r="P359" s="92"/>
      <c r="Q359" s="92"/>
      <c r="R359" s="92"/>
      <c r="S359" s="92"/>
      <c r="T359" s="92"/>
      <c r="U359" s="92"/>
      <c r="V359" s="92"/>
      <c r="W359" s="92"/>
      <c r="X359" s="92"/>
      <c r="Y359" s="92"/>
      <c r="Z359" s="92"/>
      <c r="AA359" s="90"/>
    </row>
    <row r="360" spans="1:27" x14ac:dyDescent="0.35">
      <c r="A360" s="1"/>
      <c r="B360" s="91"/>
      <c r="C360" s="91"/>
      <c r="D360" s="91"/>
      <c r="E360" s="91"/>
      <c r="F360" s="91"/>
      <c r="G360" s="91"/>
      <c r="H360" s="91"/>
      <c r="I360" s="91"/>
      <c r="J360" s="91"/>
      <c r="K360" s="91"/>
      <c r="L360" s="91"/>
      <c r="M360" s="91"/>
      <c r="N360" s="91"/>
      <c r="O360" s="92"/>
      <c r="P360" s="92"/>
      <c r="Q360" s="92"/>
      <c r="R360" s="92"/>
      <c r="S360" s="92"/>
      <c r="T360" s="92"/>
      <c r="U360" s="92"/>
      <c r="V360" s="92"/>
      <c r="W360" s="92"/>
      <c r="X360" s="92"/>
      <c r="Y360" s="92"/>
      <c r="Z360" s="92"/>
      <c r="AA360" s="90"/>
    </row>
    <row r="361" spans="1:27" x14ac:dyDescent="0.35">
      <c r="A361" s="1"/>
      <c r="B361" s="91"/>
      <c r="C361" s="91"/>
      <c r="D361" s="91"/>
      <c r="E361" s="91"/>
      <c r="F361" s="91"/>
      <c r="G361" s="91"/>
      <c r="H361" s="91"/>
      <c r="I361" s="91"/>
      <c r="J361" s="91"/>
      <c r="K361" s="91"/>
      <c r="L361" s="91"/>
      <c r="M361" s="91"/>
      <c r="N361" s="91"/>
      <c r="O361" s="92"/>
      <c r="P361" s="92"/>
      <c r="Q361" s="92"/>
      <c r="R361" s="92"/>
      <c r="S361" s="92"/>
      <c r="T361" s="92"/>
      <c r="U361" s="92"/>
      <c r="V361" s="92"/>
      <c r="W361" s="92"/>
      <c r="X361" s="92"/>
      <c r="Y361" s="92"/>
      <c r="Z361" s="92"/>
      <c r="AA361" s="90"/>
    </row>
    <row r="362" spans="1:27" x14ac:dyDescent="0.35">
      <c r="A362" s="1"/>
      <c r="B362" s="91"/>
      <c r="C362" s="91"/>
      <c r="D362" s="91"/>
      <c r="E362" s="91"/>
      <c r="F362" s="91"/>
      <c r="G362" s="91"/>
      <c r="H362" s="91"/>
      <c r="I362" s="91"/>
      <c r="J362" s="91"/>
      <c r="K362" s="91"/>
      <c r="L362" s="91"/>
      <c r="M362" s="91"/>
      <c r="N362" s="91"/>
      <c r="O362" s="92"/>
      <c r="P362" s="92"/>
      <c r="Q362" s="92"/>
      <c r="R362" s="92"/>
      <c r="S362" s="92"/>
      <c r="T362" s="92"/>
      <c r="U362" s="92"/>
      <c r="V362" s="92"/>
      <c r="W362" s="92"/>
      <c r="X362" s="92"/>
      <c r="Y362" s="92"/>
      <c r="Z362" s="92"/>
      <c r="AA362" s="90"/>
    </row>
    <row r="363" spans="1:27" x14ac:dyDescent="0.35">
      <c r="A363" s="1"/>
      <c r="B363" s="91"/>
      <c r="C363" s="91"/>
      <c r="D363" s="91"/>
      <c r="E363" s="91"/>
      <c r="F363" s="91"/>
      <c r="G363" s="91"/>
      <c r="H363" s="91"/>
      <c r="I363" s="91"/>
      <c r="J363" s="91"/>
      <c r="K363" s="91"/>
      <c r="L363" s="91"/>
      <c r="M363" s="91"/>
      <c r="N363" s="91"/>
      <c r="O363" s="92"/>
      <c r="P363" s="92"/>
      <c r="Q363" s="92"/>
      <c r="R363" s="92"/>
      <c r="S363" s="92"/>
      <c r="T363" s="92"/>
      <c r="U363" s="92"/>
      <c r="V363" s="92"/>
      <c r="W363" s="92"/>
      <c r="X363" s="92"/>
      <c r="Y363" s="92"/>
      <c r="Z363" s="92"/>
      <c r="AA363" s="90"/>
    </row>
    <row r="364" spans="1:27" x14ac:dyDescent="0.35">
      <c r="A364" s="1"/>
      <c r="B364" s="91"/>
      <c r="C364" s="91"/>
      <c r="D364" s="91"/>
      <c r="E364" s="91"/>
      <c r="F364" s="91"/>
      <c r="G364" s="91"/>
      <c r="H364" s="91"/>
      <c r="I364" s="91"/>
      <c r="J364" s="91"/>
      <c r="K364" s="91"/>
      <c r="L364" s="91"/>
      <c r="M364" s="91"/>
      <c r="N364" s="91"/>
      <c r="O364" s="92"/>
      <c r="P364" s="92"/>
      <c r="Q364" s="92"/>
      <c r="R364" s="92"/>
      <c r="S364" s="92"/>
      <c r="T364" s="92"/>
      <c r="U364" s="92"/>
      <c r="V364" s="92"/>
      <c r="W364" s="92"/>
      <c r="X364" s="92"/>
      <c r="Y364" s="92"/>
      <c r="Z364" s="92"/>
      <c r="AA364" s="90"/>
    </row>
    <row r="365" spans="1:27" x14ac:dyDescent="0.35">
      <c r="A365" s="1"/>
      <c r="B365" s="91"/>
      <c r="C365" s="91"/>
      <c r="D365" s="91"/>
      <c r="E365" s="91"/>
      <c r="F365" s="91"/>
      <c r="G365" s="91"/>
      <c r="H365" s="91"/>
      <c r="I365" s="91"/>
      <c r="J365" s="91"/>
      <c r="K365" s="91"/>
      <c r="L365" s="91"/>
      <c r="M365" s="91"/>
      <c r="N365" s="91"/>
      <c r="O365" s="92"/>
      <c r="P365" s="92"/>
      <c r="Q365" s="92"/>
      <c r="R365" s="92"/>
      <c r="S365" s="92"/>
      <c r="T365" s="92"/>
      <c r="U365" s="92"/>
      <c r="V365" s="92"/>
      <c r="W365" s="92"/>
      <c r="X365" s="92"/>
      <c r="Y365" s="92"/>
      <c r="Z365" s="92"/>
      <c r="AA365" s="90"/>
    </row>
    <row r="366" spans="1:27" x14ac:dyDescent="0.35">
      <c r="A366" s="1"/>
      <c r="B366" s="91"/>
      <c r="C366" s="91"/>
      <c r="D366" s="91"/>
      <c r="E366" s="91"/>
      <c r="F366" s="91"/>
      <c r="G366" s="91"/>
      <c r="H366" s="91"/>
      <c r="I366" s="91"/>
      <c r="J366" s="91"/>
      <c r="K366" s="91"/>
      <c r="L366" s="91"/>
      <c r="M366" s="91"/>
      <c r="N366" s="91"/>
      <c r="O366" s="92"/>
      <c r="P366" s="92"/>
      <c r="Q366" s="92"/>
      <c r="R366" s="92"/>
      <c r="S366" s="92"/>
      <c r="T366" s="92"/>
      <c r="U366" s="92"/>
      <c r="V366" s="92"/>
      <c r="W366" s="92"/>
      <c r="X366" s="92"/>
      <c r="Y366" s="92"/>
      <c r="Z366" s="92"/>
      <c r="AA366" s="90"/>
    </row>
    <row r="367" spans="1:27" x14ac:dyDescent="0.35">
      <c r="A367" s="1"/>
      <c r="B367" s="91"/>
      <c r="C367" s="91"/>
      <c r="D367" s="91"/>
      <c r="E367" s="91"/>
      <c r="F367" s="91"/>
      <c r="G367" s="91"/>
      <c r="H367" s="91"/>
      <c r="I367" s="91"/>
      <c r="J367" s="91"/>
      <c r="K367" s="91"/>
      <c r="L367" s="91"/>
      <c r="M367" s="91"/>
      <c r="N367" s="91"/>
      <c r="O367" s="92"/>
      <c r="P367" s="92"/>
      <c r="Q367" s="92"/>
      <c r="R367" s="92"/>
      <c r="S367" s="92"/>
      <c r="T367" s="92"/>
      <c r="U367" s="92"/>
      <c r="V367" s="92"/>
      <c r="W367" s="92"/>
      <c r="X367" s="92"/>
      <c r="Y367" s="92"/>
      <c r="Z367" s="92"/>
      <c r="AA367" s="90"/>
    </row>
    <row r="368" spans="1:27" x14ac:dyDescent="0.35">
      <c r="A368" s="1"/>
      <c r="B368" s="91"/>
      <c r="C368" s="91"/>
      <c r="D368" s="91"/>
      <c r="E368" s="91"/>
      <c r="F368" s="91"/>
      <c r="G368" s="91"/>
      <c r="H368" s="91"/>
      <c r="I368" s="91"/>
      <c r="J368" s="91"/>
      <c r="K368" s="91"/>
      <c r="L368" s="91"/>
      <c r="M368" s="91"/>
      <c r="N368" s="91"/>
      <c r="O368" s="92"/>
      <c r="P368" s="92"/>
      <c r="Q368" s="92"/>
      <c r="R368" s="92"/>
      <c r="S368" s="92"/>
      <c r="T368" s="92"/>
      <c r="U368" s="92"/>
      <c r="V368" s="92"/>
      <c r="W368" s="92"/>
      <c r="X368" s="92"/>
      <c r="Y368" s="92"/>
      <c r="Z368" s="92"/>
      <c r="AA368" s="90"/>
    </row>
    <row r="369" spans="1:27" x14ac:dyDescent="0.35">
      <c r="A369" s="1"/>
      <c r="B369" s="91"/>
      <c r="C369" s="91"/>
      <c r="D369" s="91"/>
      <c r="E369" s="91"/>
      <c r="F369" s="91"/>
      <c r="G369" s="91"/>
      <c r="H369" s="91"/>
      <c r="I369" s="91"/>
      <c r="J369" s="91"/>
      <c r="K369" s="91"/>
      <c r="L369" s="91"/>
      <c r="M369" s="91"/>
      <c r="N369" s="91"/>
      <c r="O369" s="92"/>
      <c r="P369" s="92"/>
      <c r="Q369" s="92"/>
      <c r="R369" s="92"/>
      <c r="S369" s="92"/>
      <c r="T369" s="92"/>
      <c r="U369" s="92"/>
      <c r="V369" s="92"/>
      <c r="W369" s="92"/>
      <c r="X369" s="92"/>
      <c r="Y369" s="92"/>
      <c r="Z369" s="92"/>
      <c r="AA369" s="90"/>
    </row>
    <row r="370" spans="1:27" x14ac:dyDescent="0.35">
      <c r="A370" s="1"/>
      <c r="B370" s="91"/>
      <c r="C370" s="91"/>
      <c r="D370" s="91"/>
      <c r="E370" s="91"/>
      <c r="F370" s="91"/>
      <c r="G370" s="91"/>
      <c r="H370" s="91"/>
      <c r="I370" s="91"/>
      <c r="J370" s="91"/>
      <c r="K370" s="91"/>
      <c r="L370" s="91"/>
      <c r="M370" s="91"/>
      <c r="N370" s="91"/>
      <c r="O370" s="92"/>
      <c r="P370" s="92"/>
      <c r="Q370" s="92"/>
      <c r="R370" s="92"/>
      <c r="S370" s="92"/>
      <c r="T370" s="92"/>
      <c r="U370" s="92"/>
      <c r="V370" s="92"/>
      <c r="W370" s="92"/>
      <c r="X370" s="92"/>
      <c r="Y370" s="92"/>
      <c r="Z370" s="92"/>
      <c r="AA370" s="90"/>
    </row>
    <row r="371" spans="1:27" x14ac:dyDescent="0.35">
      <c r="A371" s="1"/>
      <c r="B371" s="91"/>
      <c r="C371" s="91"/>
      <c r="D371" s="91"/>
      <c r="E371" s="91"/>
      <c r="F371" s="91"/>
      <c r="G371" s="91"/>
      <c r="H371" s="91"/>
      <c r="I371" s="91"/>
      <c r="J371" s="91"/>
      <c r="K371" s="91"/>
      <c r="L371" s="91"/>
      <c r="M371" s="91"/>
      <c r="N371" s="91"/>
      <c r="O371" s="92"/>
      <c r="P371" s="92"/>
      <c r="Q371" s="92"/>
      <c r="R371" s="92"/>
      <c r="S371" s="92"/>
      <c r="T371" s="92"/>
      <c r="U371" s="92"/>
      <c r="V371" s="92"/>
      <c r="W371" s="92"/>
      <c r="X371" s="92"/>
      <c r="Y371" s="92"/>
      <c r="Z371" s="92"/>
      <c r="AA371" s="90"/>
    </row>
    <row r="372" spans="1:27" x14ac:dyDescent="0.35">
      <c r="A372" s="1"/>
      <c r="B372" s="91"/>
      <c r="C372" s="91"/>
      <c r="D372" s="91"/>
      <c r="E372" s="91"/>
      <c r="F372" s="91"/>
      <c r="G372" s="91"/>
      <c r="H372" s="91"/>
      <c r="I372" s="91"/>
      <c r="J372" s="91"/>
      <c r="K372" s="91"/>
      <c r="L372" s="91"/>
      <c r="M372" s="91"/>
      <c r="N372" s="91"/>
      <c r="O372" s="92"/>
      <c r="P372" s="92"/>
      <c r="Q372" s="92"/>
      <c r="R372" s="92"/>
      <c r="S372" s="92"/>
      <c r="T372" s="92"/>
      <c r="U372" s="92"/>
      <c r="V372" s="92"/>
      <c r="W372" s="92"/>
      <c r="X372" s="92"/>
      <c r="Y372" s="92"/>
      <c r="Z372" s="92"/>
      <c r="AA372" s="90"/>
    </row>
    <row r="373" spans="1:27" x14ac:dyDescent="0.35">
      <c r="A373" s="1"/>
      <c r="B373" s="91"/>
      <c r="C373" s="91"/>
      <c r="D373" s="91"/>
      <c r="E373" s="91"/>
      <c r="F373" s="91"/>
      <c r="G373" s="91"/>
      <c r="H373" s="91"/>
      <c r="I373" s="91"/>
      <c r="J373" s="91"/>
      <c r="K373" s="91"/>
      <c r="L373" s="91"/>
      <c r="M373" s="91"/>
      <c r="N373" s="91"/>
      <c r="O373" s="92"/>
      <c r="P373" s="92"/>
      <c r="Q373" s="92"/>
      <c r="R373" s="92"/>
      <c r="S373" s="92"/>
      <c r="T373" s="92"/>
      <c r="U373" s="92"/>
      <c r="V373" s="92"/>
      <c r="W373" s="92"/>
      <c r="X373" s="92"/>
      <c r="Y373" s="92"/>
      <c r="Z373" s="92"/>
      <c r="AA373" s="90"/>
    </row>
    <row r="374" spans="1:27" x14ac:dyDescent="0.35">
      <c r="A374" s="1"/>
      <c r="B374" s="91"/>
      <c r="C374" s="91"/>
      <c r="D374" s="91"/>
      <c r="E374" s="91"/>
      <c r="F374" s="91"/>
      <c r="G374" s="91"/>
      <c r="H374" s="91"/>
      <c r="I374" s="91"/>
      <c r="J374" s="91"/>
      <c r="K374" s="91"/>
      <c r="L374" s="91"/>
      <c r="M374" s="91"/>
      <c r="N374" s="91"/>
      <c r="O374" s="92"/>
      <c r="P374" s="92"/>
      <c r="Q374" s="92"/>
      <c r="R374" s="92"/>
      <c r="S374" s="92"/>
      <c r="T374" s="92"/>
      <c r="U374" s="92"/>
      <c r="V374" s="92"/>
      <c r="W374" s="92"/>
      <c r="X374" s="92"/>
      <c r="Y374" s="92"/>
      <c r="Z374" s="92"/>
      <c r="AA374" s="90"/>
    </row>
    <row r="375" spans="1:27" x14ac:dyDescent="0.35">
      <c r="A375" s="1"/>
      <c r="B375" s="91"/>
      <c r="C375" s="91"/>
      <c r="D375" s="91"/>
      <c r="E375" s="91"/>
      <c r="F375" s="91"/>
      <c r="G375" s="91"/>
      <c r="H375" s="91"/>
      <c r="I375" s="91"/>
      <c r="J375" s="91"/>
      <c r="K375" s="91"/>
      <c r="L375" s="91"/>
      <c r="M375" s="91"/>
      <c r="N375" s="91"/>
      <c r="O375" s="92"/>
      <c r="P375" s="92"/>
      <c r="Q375" s="92"/>
      <c r="R375" s="92"/>
      <c r="S375" s="92"/>
      <c r="T375" s="92"/>
      <c r="U375" s="92"/>
      <c r="V375" s="92"/>
      <c r="W375" s="92"/>
      <c r="X375" s="92"/>
      <c r="Y375" s="92"/>
      <c r="Z375" s="92"/>
      <c r="AA375" s="90"/>
    </row>
    <row r="376" spans="1:27" x14ac:dyDescent="0.35">
      <c r="A376" s="1"/>
      <c r="B376" s="91"/>
      <c r="C376" s="91"/>
      <c r="D376" s="91"/>
      <c r="E376" s="91"/>
      <c r="F376" s="91"/>
      <c r="G376" s="91"/>
      <c r="H376" s="91"/>
      <c r="I376" s="91"/>
      <c r="J376" s="91"/>
      <c r="K376" s="91"/>
      <c r="L376" s="91"/>
      <c r="M376" s="91"/>
      <c r="N376" s="91"/>
      <c r="O376" s="92"/>
      <c r="P376" s="92"/>
      <c r="Q376" s="92"/>
      <c r="R376" s="92"/>
      <c r="S376" s="92"/>
      <c r="T376" s="92"/>
      <c r="U376" s="92"/>
      <c r="V376" s="92"/>
      <c r="W376" s="92"/>
      <c r="X376" s="92"/>
      <c r="Y376" s="92"/>
      <c r="Z376" s="92"/>
      <c r="AA376" s="90"/>
    </row>
    <row r="377" spans="1:27" x14ac:dyDescent="0.35">
      <c r="A377" s="1"/>
      <c r="B377" s="91"/>
      <c r="C377" s="91"/>
      <c r="D377" s="91"/>
      <c r="E377" s="91"/>
      <c r="F377" s="91"/>
      <c r="G377" s="91"/>
      <c r="H377" s="91"/>
      <c r="I377" s="91"/>
      <c r="J377" s="91"/>
      <c r="K377" s="91"/>
      <c r="L377" s="91"/>
      <c r="M377" s="91"/>
      <c r="N377" s="91"/>
      <c r="O377" s="92"/>
      <c r="P377" s="92"/>
      <c r="Q377" s="92"/>
      <c r="R377" s="92"/>
      <c r="S377" s="92"/>
      <c r="T377" s="92"/>
      <c r="U377" s="92"/>
      <c r="V377" s="92"/>
      <c r="W377" s="92"/>
      <c r="X377" s="92"/>
      <c r="Y377" s="92"/>
      <c r="Z377" s="92"/>
      <c r="AA377" s="90"/>
    </row>
    <row r="378" spans="1:27" x14ac:dyDescent="0.35">
      <c r="A378" s="1"/>
      <c r="B378" s="91"/>
      <c r="C378" s="91"/>
      <c r="D378" s="91"/>
      <c r="E378" s="91"/>
      <c r="F378" s="91"/>
      <c r="G378" s="91"/>
      <c r="H378" s="91"/>
      <c r="I378" s="91"/>
      <c r="J378" s="91"/>
      <c r="K378" s="91"/>
      <c r="L378" s="91"/>
      <c r="M378" s="91"/>
      <c r="N378" s="91"/>
      <c r="O378" s="92"/>
      <c r="P378" s="92"/>
      <c r="Q378" s="92"/>
      <c r="R378" s="92"/>
      <c r="S378" s="92"/>
      <c r="T378" s="92"/>
      <c r="U378" s="92"/>
      <c r="V378" s="92"/>
      <c r="W378" s="92"/>
      <c r="X378" s="92"/>
      <c r="Y378" s="92"/>
      <c r="Z378" s="92"/>
      <c r="AA378" s="90"/>
    </row>
    <row r="379" spans="1:27" x14ac:dyDescent="0.35">
      <c r="A379" s="1"/>
      <c r="B379" s="91"/>
      <c r="C379" s="91"/>
      <c r="D379" s="91"/>
      <c r="E379" s="91"/>
      <c r="F379" s="91"/>
      <c r="G379" s="91"/>
      <c r="H379" s="91"/>
      <c r="I379" s="91"/>
      <c r="J379" s="91"/>
      <c r="K379" s="91"/>
      <c r="L379" s="91"/>
      <c r="M379" s="91"/>
      <c r="N379" s="91"/>
      <c r="O379" s="92"/>
      <c r="P379" s="92"/>
      <c r="Q379" s="92"/>
      <c r="R379" s="92"/>
      <c r="S379" s="92"/>
      <c r="T379" s="92"/>
      <c r="U379" s="92"/>
      <c r="V379" s="92"/>
      <c r="W379" s="92"/>
      <c r="X379" s="92"/>
      <c r="Y379" s="92"/>
      <c r="Z379" s="92"/>
      <c r="AA379" s="90"/>
    </row>
    <row r="380" spans="1:27" x14ac:dyDescent="0.35">
      <c r="A380" s="1"/>
      <c r="B380" s="91"/>
      <c r="C380" s="91"/>
      <c r="D380" s="91"/>
      <c r="E380" s="91"/>
      <c r="F380" s="91"/>
      <c r="G380" s="91"/>
      <c r="H380" s="91"/>
      <c r="I380" s="91"/>
      <c r="J380" s="91"/>
      <c r="K380" s="91"/>
      <c r="L380" s="91"/>
      <c r="M380" s="91"/>
      <c r="N380" s="91"/>
      <c r="O380" s="92"/>
      <c r="P380" s="92"/>
      <c r="Q380" s="92"/>
      <c r="R380" s="92"/>
      <c r="S380" s="92"/>
      <c r="T380" s="92"/>
      <c r="U380" s="92"/>
      <c r="V380" s="92"/>
      <c r="W380" s="92"/>
      <c r="X380" s="92"/>
      <c r="Y380" s="92"/>
      <c r="Z380" s="92"/>
      <c r="AA380" s="90"/>
    </row>
    <row r="381" spans="1:27" x14ac:dyDescent="0.35">
      <c r="A381" s="1"/>
      <c r="B381" s="91"/>
      <c r="C381" s="91"/>
      <c r="D381" s="91"/>
      <c r="E381" s="91"/>
      <c r="F381" s="91"/>
      <c r="G381" s="91"/>
      <c r="H381" s="91"/>
      <c r="I381" s="91"/>
      <c r="J381" s="91"/>
      <c r="K381" s="91"/>
      <c r="L381" s="91"/>
      <c r="M381" s="91"/>
      <c r="N381" s="91"/>
      <c r="O381" s="92"/>
      <c r="P381" s="92"/>
      <c r="Q381" s="92"/>
      <c r="R381" s="92"/>
      <c r="S381" s="92"/>
      <c r="T381" s="92"/>
      <c r="U381" s="92"/>
      <c r="V381" s="92"/>
      <c r="W381" s="92"/>
      <c r="X381" s="92"/>
      <c r="Y381" s="92"/>
      <c r="Z381" s="92"/>
      <c r="AA381" s="90"/>
    </row>
    <row r="382" spans="1:27" x14ac:dyDescent="0.35">
      <c r="A382" s="1"/>
      <c r="B382" s="91"/>
      <c r="C382" s="91"/>
      <c r="D382" s="91"/>
      <c r="E382" s="91"/>
      <c r="F382" s="91"/>
      <c r="G382" s="91"/>
      <c r="H382" s="91"/>
      <c r="I382" s="91"/>
      <c r="J382" s="91"/>
      <c r="K382" s="91"/>
      <c r="L382" s="91"/>
      <c r="M382" s="91"/>
      <c r="N382" s="91"/>
      <c r="O382" s="92"/>
      <c r="P382" s="92"/>
      <c r="Q382" s="92"/>
      <c r="R382" s="92"/>
      <c r="S382" s="92"/>
      <c r="T382" s="92"/>
      <c r="U382" s="92"/>
      <c r="V382" s="92"/>
      <c r="W382" s="92"/>
      <c r="X382" s="92"/>
      <c r="Y382" s="92"/>
      <c r="Z382" s="92"/>
      <c r="AA382" s="90"/>
    </row>
    <row r="383" spans="1:27" x14ac:dyDescent="0.35">
      <c r="A383" s="1"/>
      <c r="B383" s="91"/>
      <c r="C383" s="91"/>
      <c r="D383" s="91"/>
      <c r="E383" s="91"/>
      <c r="F383" s="91"/>
      <c r="G383" s="91"/>
      <c r="H383" s="91"/>
      <c r="I383" s="91"/>
      <c r="J383" s="91"/>
      <c r="K383" s="91"/>
      <c r="L383" s="91"/>
      <c r="M383" s="91"/>
      <c r="N383" s="91"/>
      <c r="O383" s="92"/>
      <c r="P383" s="92"/>
      <c r="Q383" s="92"/>
      <c r="R383" s="92"/>
      <c r="S383" s="92"/>
      <c r="T383" s="92"/>
      <c r="U383" s="92"/>
      <c r="V383" s="92"/>
      <c r="W383" s="92"/>
      <c r="X383" s="92"/>
      <c r="Y383" s="92"/>
      <c r="Z383" s="92"/>
      <c r="AA383" s="90"/>
    </row>
    <row r="384" spans="1:27" x14ac:dyDescent="0.35">
      <c r="A384" s="1"/>
      <c r="B384" s="91"/>
      <c r="C384" s="91"/>
      <c r="D384" s="91"/>
      <c r="E384" s="91"/>
      <c r="F384" s="91"/>
      <c r="G384" s="91"/>
      <c r="H384" s="91"/>
      <c r="I384" s="91"/>
      <c r="J384" s="91"/>
      <c r="K384" s="91"/>
      <c r="L384" s="91"/>
      <c r="M384" s="91"/>
      <c r="N384" s="91"/>
      <c r="O384" s="92"/>
      <c r="P384" s="92"/>
      <c r="Q384" s="92"/>
      <c r="R384" s="92"/>
      <c r="S384" s="92"/>
      <c r="T384" s="92"/>
      <c r="U384" s="92"/>
      <c r="V384" s="92"/>
      <c r="W384" s="92"/>
      <c r="X384" s="92"/>
      <c r="Y384" s="92"/>
      <c r="Z384" s="92"/>
      <c r="AA384" s="90"/>
    </row>
    <row r="385" spans="1:27" x14ac:dyDescent="0.35">
      <c r="A385" s="1"/>
      <c r="B385" s="91"/>
      <c r="C385" s="91"/>
      <c r="D385" s="91"/>
      <c r="E385" s="91"/>
      <c r="F385" s="91"/>
      <c r="G385" s="91"/>
      <c r="H385" s="91"/>
      <c r="I385" s="91"/>
      <c r="J385" s="91"/>
      <c r="K385" s="91"/>
      <c r="L385" s="91"/>
      <c r="M385" s="91"/>
      <c r="N385" s="91"/>
      <c r="O385" s="92"/>
      <c r="P385" s="92"/>
      <c r="Q385" s="92"/>
      <c r="R385" s="92"/>
      <c r="S385" s="92"/>
      <c r="T385" s="92"/>
      <c r="U385" s="92"/>
      <c r="V385" s="92"/>
      <c r="W385" s="92"/>
      <c r="X385" s="92"/>
      <c r="Y385" s="92"/>
      <c r="Z385" s="92"/>
      <c r="AA385" s="90"/>
    </row>
    <row r="386" spans="1:27" x14ac:dyDescent="0.35">
      <c r="A386" s="1"/>
      <c r="B386" s="91"/>
      <c r="C386" s="91"/>
      <c r="D386" s="91"/>
      <c r="E386" s="91"/>
      <c r="F386" s="91"/>
      <c r="G386" s="91"/>
      <c r="H386" s="91"/>
      <c r="I386" s="91"/>
      <c r="J386" s="91"/>
      <c r="K386" s="91"/>
      <c r="L386" s="91"/>
      <c r="M386" s="91"/>
      <c r="N386" s="91"/>
      <c r="O386" s="92"/>
      <c r="P386" s="92"/>
      <c r="Q386" s="92"/>
      <c r="R386" s="92"/>
      <c r="S386" s="92"/>
      <c r="T386" s="92"/>
      <c r="U386" s="92"/>
      <c r="V386" s="92"/>
      <c r="W386" s="92"/>
      <c r="X386" s="92"/>
      <c r="Y386" s="92"/>
      <c r="Z386" s="92"/>
      <c r="AA386" s="90"/>
    </row>
    <row r="387" spans="1:27" x14ac:dyDescent="0.35">
      <c r="A387" s="1"/>
      <c r="B387" s="91"/>
      <c r="C387" s="91"/>
      <c r="D387" s="91"/>
      <c r="E387" s="91"/>
      <c r="F387" s="91"/>
      <c r="G387" s="91"/>
      <c r="H387" s="91"/>
      <c r="I387" s="91"/>
      <c r="J387" s="91"/>
      <c r="K387" s="91"/>
      <c r="L387" s="91"/>
      <c r="M387" s="91"/>
      <c r="N387" s="91"/>
      <c r="O387" s="92"/>
      <c r="P387" s="92"/>
      <c r="Q387" s="92"/>
      <c r="R387" s="92"/>
      <c r="S387" s="92"/>
      <c r="T387" s="92"/>
      <c r="U387" s="92"/>
      <c r="V387" s="92"/>
      <c r="W387" s="92"/>
      <c r="X387" s="92"/>
      <c r="Y387" s="92"/>
      <c r="Z387" s="92"/>
      <c r="AA387" s="90"/>
    </row>
    <row r="388" spans="1:27" x14ac:dyDescent="0.35">
      <c r="A388" s="1"/>
      <c r="B388" s="91"/>
      <c r="C388" s="91"/>
      <c r="D388" s="91"/>
      <c r="E388" s="91"/>
      <c r="F388" s="91"/>
      <c r="G388" s="91"/>
      <c r="H388" s="91"/>
      <c r="I388" s="91"/>
      <c r="J388" s="91"/>
      <c r="K388" s="91"/>
      <c r="L388" s="91"/>
      <c r="M388" s="91"/>
      <c r="N388" s="91"/>
      <c r="O388" s="92"/>
      <c r="P388" s="92"/>
      <c r="Q388" s="92"/>
      <c r="R388" s="92"/>
      <c r="S388" s="92"/>
      <c r="T388" s="92"/>
      <c r="U388" s="92"/>
      <c r="V388" s="92"/>
      <c r="W388" s="92"/>
      <c r="X388" s="92"/>
      <c r="Y388" s="92"/>
      <c r="Z388" s="92"/>
      <c r="AA388" s="90"/>
    </row>
    <row r="389" spans="1:27" x14ac:dyDescent="0.35">
      <c r="A389" s="1"/>
      <c r="B389" s="91"/>
      <c r="C389" s="91"/>
      <c r="D389" s="91"/>
      <c r="E389" s="91"/>
      <c r="F389" s="91"/>
      <c r="G389" s="91"/>
      <c r="H389" s="91"/>
      <c r="I389" s="91"/>
      <c r="J389" s="91"/>
      <c r="K389" s="91"/>
      <c r="L389" s="91"/>
      <c r="M389" s="91"/>
      <c r="N389" s="91"/>
      <c r="O389" s="92"/>
      <c r="P389" s="92"/>
      <c r="Q389" s="92"/>
      <c r="R389" s="92"/>
      <c r="S389" s="92"/>
      <c r="T389" s="92"/>
      <c r="U389" s="92"/>
      <c r="V389" s="92"/>
      <c r="W389" s="92"/>
      <c r="X389" s="92"/>
      <c r="Y389" s="92"/>
      <c r="Z389" s="92"/>
      <c r="AA389" s="90"/>
    </row>
    <row r="390" spans="1:27" x14ac:dyDescent="0.35">
      <c r="A390" s="1"/>
      <c r="B390" s="91"/>
      <c r="C390" s="91"/>
      <c r="D390" s="91"/>
      <c r="E390" s="91"/>
      <c r="F390" s="91"/>
      <c r="G390" s="91"/>
      <c r="H390" s="91"/>
      <c r="I390" s="91"/>
      <c r="J390" s="91"/>
      <c r="K390" s="91"/>
      <c r="L390" s="91"/>
      <c r="M390" s="91"/>
      <c r="N390" s="91"/>
      <c r="O390" s="92"/>
      <c r="P390" s="92"/>
      <c r="Q390" s="92"/>
      <c r="R390" s="92"/>
      <c r="S390" s="92"/>
      <c r="T390" s="92"/>
      <c r="U390" s="92"/>
      <c r="V390" s="92"/>
      <c r="W390" s="92"/>
      <c r="X390" s="92"/>
      <c r="Y390" s="92"/>
      <c r="Z390" s="92"/>
      <c r="AA390" s="90"/>
    </row>
    <row r="391" spans="1:27" x14ac:dyDescent="0.35">
      <c r="A391" s="1"/>
      <c r="B391" s="91"/>
      <c r="C391" s="91"/>
      <c r="D391" s="91"/>
      <c r="E391" s="91"/>
      <c r="F391" s="91"/>
      <c r="G391" s="91"/>
      <c r="H391" s="91"/>
      <c r="I391" s="91"/>
      <c r="J391" s="91"/>
      <c r="K391" s="91"/>
      <c r="L391" s="91"/>
      <c r="M391" s="91"/>
      <c r="N391" s="91"/>
      <c r="O391" s="92"/>
      <c r="P391" s="92"/>
      <c r="Q391" s="92"/>
      <c r="R391" s="92"/>
      <c r="S391" s="92"/>
      <c r="T391" s="92"/>
      <c r="U391" s="92"/>
      <c r="V391" s="92"/>
      <c r="W391" s="92"/>
      <c r="X391" s="92"/>
      <c r="Y391" s="92"/>
      <c r="Z391" s="92"/>
      <c r="AA391" s="90"/>
    </row>
    <row r="392" spans="1:27" x14ac:dyDescent="0.35">
      <c r="A392" s="1"/>
      <c r="B392" s="91"/>
      <c r="C392" s="91"/>
      <c r="D392" s="91"/>
      <c r="E392" s="91"/>
      <c r="F392" s="91"/>
      <c r="G392" s="91"/>
      <c r="H392" s="91"/>
      <c r="I392" s="91"/>
      <c r="J392" s="91"/>
      <c r="K392" s="91"/>
      <c r="L392" s="91"/>
      <c r="M392" s="91"/>
      <c r="N392" s="91"/>
      <c r="O392" s="92"/>
      <c r="P392" s="92"/>
      <c r="Q392" s="92"/>
      <c r="R392" s="92"/>
      <c r="S392" s="92"/>
      <c r="T392" s="92"/>
      <c r="U392" s="92"/>
      <c r="V392" s="92"/>
      <c r="W392" s="92"/>
      <c r="X392" s="92"/>
      <c r="Y392" s="92"/>
      <c r="Z392" s="92"/>
      <c r="AA392" s="90"/>
    </row>
    <row r="393" spans="1:27" x14ac:dyDescent="0.35">
      <c r="A393" s="1"/>
      <c r="B393" s="91"/>
      <c r="C393" s="91"/>
      <c r="D393" s="91"/>
      <c r="E393" s="91"/>
      <c r="F393" s="91"/>
      <c r="G393" s="91"/>
      <c r="H393" s="91"/>
      <c r="I393" s="91"/>
      <c r="J393" s="91"/>
      <c r="K393" s="91"/>
      <c r="L393" s="91"/>
      <c r="M393" s="91"/>
      <c r="N393" s="91"/>
      <c r="O393" s="92"/>
      <c r="P393" s="92"/>
      <c r="Q393" s="92"/>
      <c r="R393" s="92"/>
      <c r="S393" s="92"/>
      <c r="T393" s="92"/>
      <c r="U393" s="92"/>
      <c r="V393" s="92"/>
      <c r="W393" s="92"/>
      <c r="X393" s="92"/>
      <c r="Y393" s="92"/>
      <c r="Z393" s="92"/>
      <c r="AA393" s="90"/>
    </row>
    <row r="394" spans="1:27" x14ac:dyDescent="0.35">
      <c r="A394" s="1"/>
      <c r="B394" s="91"/>
      <c r="C394" s="91"/>
      <c r="D394" s="91"/>
      <c r="E394" s="91"/>
      <c r="F394" s="91"/>
      <c r="G394" s="91"/>
      <c r="H394" s="91"/>
      <c r="I394" s="91"/>
      <c r="J394" s="91"/>
      <c r="K394" s="91"/>
      <c r="L394" s="91"/>
      <c r="M394" s="91"/>
      <c r="N394" s="91"/>
      <c r="O394" s="92"/>
      <c r="P394" s="92"/>
      <c r="Q394" s="92"/>
      <c r="R394" s="92"/>
      <c r="S394" s="92"/>
      <c r="T394" s="92"/>
      <c r="U394" s="92"/>
      <c r="V394" s="92"/>
      <c r="W394" s="92"/>
      <c r="X394" s="92"/>
      <c r="Y394" s="92"/>
      <c r="Z394" s="92"/>
      <c r="AA394" s="90"/>
    </row>
    <row r="395" spans="1:27" x14ac:dyDescent="0.35">
      <c r="A395" s="1"/>
      <c r="B395" s="91"/>
      <c r="C395" s="91"/>
      <c r="D395" s="91"/>
      <c r="E395" s="91"/>
      <c r="F395" s="91"/>
      <c r="G395" s="91"/>
      <c r="H395" s="91"/>
      <c r="I395" s="91"/>
      <c r="J395" s="91"/>
      <c r="K395" s="91"/>
      <c r="L395" s="91"/>
      <c r="M395" s="91"/>
      <c r="N395" s="91"/>
      <c r="O395" s="92"/>
      <c r="P395" s="92"/>
      <c r="Q395" s="92"/>
      <c r="R395" s="92"/>
      <c r="S395" s="92"/>
      <c r="T395" s="92"/>
      <c r="U395" s="92"/>
      <c r="V395" s="92"/>
      <c r="W395" s="92"/>
      <c r="X395" s="92"/>
      <c r="Y395" s="92"/>
      <c r="Z395" s="92"/>
      <c r="AA395" s="90"/>
    </row>
    <row r="396" spans="1:27" x14ac:dyDescent="0.35">
      <c r="A396" s="1"/>
      <c r="B396" s="91"/>
      <c r="C396" s="91"/>
      <c r="D396" s="91"/>
      <c r="E396" s="91"/>
      <c r="F396" s="91"/>
      <c r="G396" s="91"/>
      <c r="H396" s="91"/>
      <c r="I396" s="91"/>
      <c r="J396" s="91"/>
      <c r="K396" s="91"/>
      <c r="L396" s="91"/>
      <c r="M396" s="91"/>
      <c r="N396" s="91"/>
      <c r="O396" s="92"/>
      <c r="P396" s="92"/>
      <c r="Q396" s="92"/>
      <c r="R396" s="92"/>
      <c r="S396" s="92"/>
      <c r="T396" s="92"/>
      <c r="U396" s="92"/>
      <c r="V396" s="92"/>
      <c r="W396" s="92"/>
      <c r="X396" s="92"/>
      <c r="Y396" s="92"/>
      <c r="Z396" s="92"/>
      <c r="AA396" s="90"/>
    </row>
    <row r="397" spans="1:27" x14ac:dyDescent="0.35">
      <c r="A397" s="1"/>
      <c r="B397" s="91"/>
      <c r="C397" s="91"/>
      <c r="D397" s="91"/>
      <c r="E397" s="91"/>
      <c r="F397" s="91"/>
      <c r="G397" s="91"/>
      <c r="H397" s="91"/>
      <c r="I397" s="91"/>
      <c r="J397" s="91"/>
      <c r="K397" s="91"/>
      <c r="L397" s="91"/>
      <c r="M397" s="91"/>
      <c r="N397" s="91"/>
      <c r="O397" s="92"/>
      <c r="P397" s="92"/>
      <c r="Q397" s="92"/>
      <c r="R397" s="92"/>
      <c r="S397" s="92"/>
      <c r="T397" s="92"/>
      <c r="U397" s="92"/>
      <c r="V397" s="92"/>
      <c r="W397" s="92"/>
      <c r="X397" s="92"/>
      <c r="Y397" s="92"/>
      <c r="Z397" s="92"/>
      <c r="AA397" s="90"/>
    </row>
    <row r="398" spans="1:27" x14ac:dyDescent="0.35">
      <c r="A398" s="1"/>
      <c r="B398" s="91"/>
      <c r="C398" s="91"/>
      <c r="D398" s="91"/>
      <c r="E398" s="91"/>
      <c r="F398" s="91"/>
      <c r="G398" s="91"/>
      <c r="H398" s="91"/>
      <c r="I398" s="91"/>
      <c r="J398" s="91"/>
      <c r="K398" s="91"/>
      <c r="L398" s="91"/>
      <c r="M398" s="91"/>
      <c r="N398" s="91"/>
      <c r="O398" s="92"/>
      <c r="P398" s="92"/>
      <c r="Q398" s="92"/>
      <c r="R398" s="92"/>
      <c r="S398" s="92"/>
      <c r="T398" s="92"/>
      <c r="U398" s="92"/>
      <c r="V398" s="92"/>
      <c r="W398" s="92"/>
      <c r="X398" s="92"/>
      <c r="Y398" s="92"/>
      <c r="Z398" s="92"/>
      <c r="AA398" s="90"/>
    </row>
    <row r="399" spans="1:27" x14ac:dyDescent="0.35">
      <c r="A399" s="1"/>
      <c r="B399" s="91"/>
      <c r="C399" s="91"/>
      <c r="D399" s="91"/>
      <c r="E399" s="91"/>
      <c r="F399" s="91"/>
      <c r="G399" s="91"/>
      <c r="H399" s="91"/>
      <c r="I399" s="91"/>
      <c r="J399" s="91"/>
      <c r="K399" s="91"/>
      <c r="L399" s="91"/>
      <c r="M399" s="91"/>
      <c r="N399" s="91"/>
      <c r="O399" s="92"/>
      <c r="P399" s="92"/>
      <c r="Q399" s="92"/>
      <c r="R399" s="92"/>
      <c r="S399" s="92"/>
      <c r="T399" s="92"/>
      <c r="U399" s="92"/>
      <c r="V399" s="92"/>
      <c r="W399" s="92"/>
      <c r="X399" s="92"/>
      <c r="Y399" s="92"/>
      <c r="Z399" s="92"/>
      <c r="AA399" s="90"/>
    </row>
    <row r="400" spans="1:27" x14ac:dyDescent="0.35">
      <c r="A400" s="1"/>
      <c r="B400" s="91"/>
      <c r="C400" s="91"/>
      <c r="D400" s="91"/>
      <c r="E400" s="91"/>
      <c r="F400" s="91"/>
      <c r="G400" s="91"/>
      <c r="H400" s="91"/>
      <c r="I400" s="91"/>
      <c r="J400" s="91"/>
      <c r="K400" s="91"/>
      <c r="L400" s="91"/>
      <c r="M400" s="91"/>
      <c r="N400" s="91"/>
      <c r="O400" s="92"/>
      <c r="P400" s="92"/>
      <c r="Q400" s="92"/>
      <c r="R400" s="92"/>
      <c r="S400" s="92"/>
      <c r="T400" s="92"/>
      <c r="U400" s="92"/>
      <c r="V400" s="92"/>
      <c r="W400" s="92"/>
      <c r="X400" s="92"/>
      <c r="Y400" s="92"/>
      <c r="Z400" s="92"/>
      <c r="AA400" s="90"/>
    </row>
    <row r="401" spans="1:27" x14ac:dyDescent="0.35">
      <c r="A401" s="1"/>
      <c r="B401" s="91"/>
      <c r="C401" s="91"/>
      <c r="D401" s="91"/>
      <c r="E401" s="91"/>
      <c r="F401" s="91"/>
      <c r="G401" s="91"/>
      <c r="H401" s="91"/>
      <c r="I401" s="91"/>
      <c r="J401" s="91"/>
      <c r="K401" s="91"/>
      <c r="L401" s="91"/>
      <c r="M401" s="91"/>
      <c r="N401" s="91"/>
      <c r="O401" s="92"/>
      <c r="P401" s="92"/>
      <c r="Q401" s="92"/>
      <c r="R401" s="92"/>
      <c r="S401" s="92"/>
      <c r="T401" s="92"/>
      <c r="U401" s="92"/>
      <c r="V401" s="92"/>
      <c r="W401" s="92"/>
      <c r="X401" s="92"/>
      <c r="Y401" s="92"/>
      <c r="Z401" s="92"/>
      <c r="AA401" s="90"/>
    </row>
  </sheetData>
  <autoFilter ref="B4:E40"/>
  <mergeCells count="1">
    <mergeCell ref="B2:Q2"/>
  </mergeCells>
  <pageMargins left="0.7" right="0.7" top="0.75" bottom="0.75" header="0.3" footer="0.3"/>
  <pageSetup orientation="portrait" horizontalDpi="4294967293" verticalDpi="4294967293" r:id="rId3"/>
  <drawing r:id="rId4"/>
  <extLst>
    <ext xmlns:x14="http://schemas.microsoft.com/office/spreadsheetml/2009/9/main" uri="{A8765BA9-456A-4dab-B4F3-ACF838C121DE}">
      <x14:slicerList>
        <x14:slicer r:id="rId5"/>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8" tint="0.59999389629810485"/>
  </sheetPr>
  <dimension ref="B2:H36"/>
  <sheetViews>
    <sheetView topLeftCell="A3" workbookViewId="0">
      <selection activeCell="I12" sqref="I12"/>
    </sheetView>
  </sheetViews>
  <sheetFormatPr defaultRowHeight="14.5" x14ac:dyDescent="0.35"/>
  <cols>
    <col min="2" max="8" width="13.90625" customWidth="1"/>
  </cols>
  <sheetData>
    <row r="2" spans="2:8" ht="23.5" x14ac:dyDescent="0.35">
      <c r="B2" s="326" t="s">
        <v>821</v>
      </c>
      <c r="C2" s="327"/>
      <c r="D2" s="327"/>
      <c r="E2" s="327"/>
      <c r="F2" s="327"/>
      <c r="G2" s="327"/>
      <c r="H2" s="328"/>
    </row>
    <row r="3" spans="2:8" ht="15" thickBot="1" x14ac:dyDescent="0.4"/>
    <row r="4" spans="2:8" ht="30.5" customHeight="1" x14ac:dyDescent="0.35">
      <c r="B4" s="186" t="s">
        <v>835</v>
      </c>
      <c r="C4" s="187" t="s">
        <v>836</v>
      </c>
    </row>
    <row r="5" spans="2:8" ht="15" thickBot="1" x14ac:dyDescent="0.4">
      <c r="B5" s="184">
        <v>5000</v>
      </c>
      <c r="C5" s="185">
        <f>F23</f>
        <v>4239</v>
      </c>
    </row>
    <row r="7" spans="2:8" ht="34.5" customHeight="1" x14ac:dyDescent="0.35">
      <c r="B7" s="163" t="s">
        <v>833</v>
      </c>
      <c r="C7" s="164" t="s">
        <v>822</v>
      </c>
      <c r="D7" s="165" t="s">
        <v>823</v>
      </c>
      <c r="E7" s="165" t="s">
        <v>824</v>
      </c>
      <c r="F7" s="165" t="s">
        <v>825</v>
      </c>
      <c r="G7" s="165" t="s">
        <v>830</v>
      </c>
      <c r="H7" s="165" t="s">
        <v>826</v>
      </c>
    </row>
    <row r="8" spans="2:8" x14ac:dyDescent="0.35">
      <c r="B8" s="8" t="s">
        <v>797</v>
      </c>
      <c r="C8" s="8" t="s">
        <v>827</v>
      </c>
      <c r="D8" s="166">
        <v>6</v>
      </c>
      <c r="E8" s="167">
        <v>11.5</v>
      </c>
      <c r="F8" s="167">
        <f t="shared" ref="F8:F22" si="0">D8*E8</f>
        <v>69</v>
      </c>
      <c r="G8" s="168">
        <f t="shared" ref="G8:G22" si="1">F8/$F$23</f>
        <v>1.6277423920736021E-2</v>
      </c>
      <c r="H8" s="112">
        <f t="shared" ref="H8:H22" si="2">D8/7</f>
        <v>0.8571428571428571</v>
      </c>
    </row>
    <row r="9" spans="2:8" x14ac:dyDescent="0.35">
      <c r="B9" s="8" t="s">
        <v>798</v>
      </c>
      <c r="C9" s="8" t="s">
        <v>827</v>
      </c>
      <c r="D9" s="166">
        <v>6</v>
      </c>
      <c r="E9" s="167">
        <v>10.5</v>
      </c>
      <c r="F9" s="167">
        <f t="shared" si="0"/>
        <v>63</v>
      </c>
      <c r="G9" s="168">
        <f t="shared" si="1"/>
        <v>1.4861995753715499E-2</v>
      </c>
      <c r="H9" s="112">
        <f t="shared" si="2"/>
        <v>0.8571428571428571</v>
      </c>
    </row>
    <row r="10" spans="2:8" x14ac:dyDescent="0.35">
      <c r="B10" s="8" t="s">
        <v>803</v>
      </c>
      <c r="C10" s="8" t="s">
        <v>827</v>
      </c>
      <c r="D10" s="166">
        <v>6</v>
      </c>
      <c r="E10" s="167">
        <v>11</v>
      </c>
      <c r="F10" s="167">
        <f t="shared" si="0"/>
        <v>66</v>
      </c>
      <c r="G10" s="168">
        <f t="shared" si="1"/>
        <v>1.556970983722576E-2</v>
      </c>
      <c r="H10" s="112">
        <f t="shared" si="2"/>
        <v>0.8571428571428571</v>
      </c>
    </row>
    <row r="11" spans="2:8" x14ac:dyDescent="0.35">
      <c r="B11" s="8" t="s">
        <v>797</v>
      </c>
      <c r="C11" s="8" t="s">
        <v>828</v>
      </c>
      <c r="D11" s="166">
        <v>6</v>
      </c>
      <c r="E11" s="167">
        <v>11</v>
      </c>
      <c r="F11" s="167">
        <f t="shared" si="0"/>
        <v>66</v>
      </c>
      <c r="G11" s="168">
        <f t="shared" si="1"/>
        <v>1.556970983722576E-2</v>
      </c>
      <c r="H11" s="112">
        <f t="shared" si="2"/>
        <v>0.8571428571428571</v>
      </c>
    </row>
    <row r="12" spans="2:8" x14ac:dyDescent="0.35">
      <c r="B12" s="8" t="s">
        <v>798</v>
      </c>
      <c r="C12" s="8" t="s">
        <v>828</v>
      </c>
      <c r="D12" s="166">
        <v>6</v>
      </c>
      <c r="E12" s="167">
        <v>10.5</v>
      </c>
      <c r="F12" s="167">
        <f t="shared" si="0"/>
        <v>63</v>
      </c>
      <c r="G12" s="168">
        <f t="shared" si="1"/>
        <v>1.4861995753715499E-2</v>
      </c>
      <c r="H12" s="112">
        <f t="shared" si="2"/>
        <v>0.8571428571428571</v>
      </c>
    </row>
    <row r="13" spans="2:8" x14ac:dyDescent="0.35">
      <c r="B13" s="8" t="s">
        <v>803</v>
      </c>
      <c r="C13" s="8" t="s">
        <v>828</v>
      </c>
      <c r="D13" s="166">
        <v>6</v>
      </c>
      <c r="E13" s="167">
        <v>11.5</v>
      </c>
      <c r="F13" s="167">
        <f t="shared" si="0"/>
        <v>69</v>
      </c>
      <c r="G13" s="168">
        <f t="shared" si="1"/>
        <v>1.6277423920736021E-2</v>
      </c>
      <c r="H13" s="112">
        <f t="shared" si="2"/>
        <v>0.8571428571428571</v>
      </c>
    </row>
    <row r="14" spans="2:8" x14ac:dyDescent="0.35">
      <c r="B14" s="8" t="s">
        <v>797</v>
      </c>
      <c r="C14" s="8" t="s">
        <v>829</v>
      </c>
      <c r="D14" s="166">
        <v>6</v>
      </c>
      <c r="E14" s="167">
        <v>11</v>
      </c>
      <c r="F14" s="167">
        <f t="shared" si="0"/>
        <v>66</v>
      </c>
      <c r="G14" s="168">
        <f t="shared" si="1"/>
        <v>1.556970983722576E-2</v>
      </c>
      <c r="H14" s="112">
        <f t="shared" si="2"/>
        <v>0.8571428571428571</v>
      </c>
    </row>
    <row r="15" spans="2:8" x14ac:dyDescent="0.35">
      <c r="B15" s="8" t="s">
        <v>798</v>
      </c>
      <c r="C15" s="8" t="s">
        <v>829</v>
      </c>
      <c r="D15" s="166">
        <v>6</v>
      </c>
      <c r="E15" s="167">
        <v>11</v>
      </c>
      <c r="F15" s="167">
        <f t="shared" si="0"/>
        <v>66</v>
      </c>
      <c r="G15" s="168">
        <f t="shared" si="1"/>
        <v>1.556970983722576E-2</v>
      </c>
      <c r="H15" s="112">
        <f t="shared" si="2"/>
        <v>0.8571428571428571</v>
      </c>
    </row>
    <row r="16" spans="2:8" x14ac:dyDescent="0.35">
      <c r="B16" s="8" t="s">
        <v>803</v>
      </c>
      <c r="C16" s="8" t="s">
        <v>829</v>
      </c>
      <c r="D16" s="166">
        <v>6</v>
      </c>
      <c r="E16" s="167">
        <v>11</v>
      </c>
      <c r="F16" s="167">
        <f t="shared" si="0"/>
        <v>66</v>
      </c>
      <c r="G16" s="168">
        <f t="shared" si="1"/>
        <v>1.556970983722576E-2</v>
      </c>
      <c r="H16" s="112">
        <f t="shared" si="2"/>
        <v>0.8571428571428571</v>
      </c>
    </row>
    <row r="17" spans="2:8" x14ac:dyDescent="0.35">
      <c r="B17" s="8" t="s">
        <v>797</v>
      </c>
      <c r="C17" s="8" t="s">
        <v>831</v>
      </c>
      <c r="D17" s="166">
        <v>30</v>
      </c>
      <c r="E17" s="167">
        <v>37</v>
      </c>
      <c r="F17" s="167">
        <f t="shared" si="0"/>
        <v>1110</v>
      </c>
      <c r="G17" s="168">
        <f t="shared" si="1"/>
        <v>0.2618542108987969</v>
      </c>
      <c r="H17" s="112">
        <f t="shared" si="2"/>
        <v>4.2857142857142856</v>
      </c>
    </row>
    <row r="18" spans="2:8" x14ac:dyDescent="0.35">
      <c r="B18" s="8" t="s">
        <v>798</v>
      </c>
      <c r="C18" s="8" t="s">
        <v>831</v>
      </c>
      <c r="D18" s="166">
        <v>30</v>
      </c>
      <c r="E18" s="167">
        <v>33.5</v>
      </c>
      <c r="F18" s="167">
        <f t="shared" si="0"/>
        <v>1005</v>
      </c>
      <c r="G18" s="168">
        <f t="shared" si="1"/>
        <v>0.23708421797593773</v>
      </c>
      <c r="H18" s="112">
        <f t="shared" si="2"/>
        <v>4.2857142857142856</v>
      </c>
    </row>
    <row r="19" spans="2:8" x14ac:dyDescent="0.35">
      <c r="B19" s="8" t="s">
        <v>803</v>
      </c>
      <c r="C19" s="8" t="s">
        <v>831</v>
      </c>
      <c r="D19" s="166">
        <v>30</v>
      </c>
      <c r="E19" s="167">
        <v>35.5</v>
      </c>
      <c r="F19" s="167">
        <f t="shared" si="0"/>
        <v>1065</v>
      </c>
      <c r="G19" s="168">
        <f t="shared" si="1"/>
        <v>0.25123849964614298</v>
      </c>
      <c r="H19" s="112">
        <f t="shared" si="2"/>
        <v>4.2857142857142856</v>
      </c>
    </row>
    <row r="20" spans="2:8" x14ac:dyDescent="0.35">
      <c r="B20" s="8" t="s">
        <v>797</v>
      </c>
      <c r="C20" s="8" t="s">
        <v>832</v>
      </c>
      <c r="D20" s="166">
        <v>10</v>
      </c>
      <c r="E20" s="167">
        <v>16</v>
      </c>
      <c r="F20" s="167">
        <f t="shared" si="0"/>
        <v>160</v>
      </c>
      <c r="G20" s="168">
        <f t="shared" si="1"/>
        <v>3.7744751120547301E-2</v>
      </c>
      <c r="H20" s="112">
        <f t="shared" si="2"/>
        <v>1.4285714285714286</v>
      </c>
    </row>
    <row r="21" spans="2:8" x14ac:dyDescent="0.35">
      <c r="B21" s="8" t="s">
        <v>798</v>
      </c>
      <c r="C21" s="8" t="s">
        <v>832</v>
      </c>
      <c r="D21" s="166">
        <v>10</v>
      </c>
      <c r="E21" s="167">
        <v>15</v>
      </c>
      <c r="F21" s="167">
        <f t="shared" si="0"/>
        <v>150</v>
      </c>
      <c r="G21" s="168">
        <f t="shared" si="1"/>
        <v>3.5385704175513094E-2</v>
      </c>
      <c r="H21" s="112">
        <f t="shared" si="2"/>
        <v>1.4285714285714286</v>
      </c>
    </row>
    <row r="22" spans="2:8" x14ac:dyDescent="0.35">
      <c r="B22" s="8" t="s">
        <v>803</v>
      </c>
      <c r="C22" s="8" t="s">
        <v>832</v>
      </c>
      <c r="D22" s="166">
        <v>10</v>
      </c>
      <c r="E22" s="167">
        <v>15.5</v>
      </c>
      <c r="F22" s="167">
        <f t="shared" si="0"/>
        <v>155</v>
      </c>
      <c r="G22" s="168">
        <f t="shared" si="1"/>
        <v>3.6565227648030198E-2</v>
      </c>
      <c r="H22" s="112">
        <f t="shared" si="2"/>
        <v>1.4285714285714286</v>
      </c>
    </row>
    <row r="23" spans="2:8" x14ac:dyDescent="0.35">
      <c r="B23" s="182"/>
      <c r="C23" s="178" t="s">
        <v>811</v>
      </c>
      <c r="D23" s="179">
        <f>SUM(D8:D22)</f>
        <v>174</v>
      </c>
      <c r="E23" s="180">
        <f t="shared" ref="E23:G23" si="3">SUM(E8:E22)</f>
        <v>251.5</v>
      </c>
      <c r="F23" s="180">
        <f t="shared" si="3"/>
        <v>4239</v>
      </c>
      <c r="G23" s="181">
        <f t="shared" si="3"/>
        <v>1</v>
      </c>
      <c r="H23" s="183"/>
    </row>
    <row r="24" spans="2:8" ht="15" thickBot="1" x14ac:dyDescent="0.4"/>
    <row r="25" spans="2:8" x14ac:dyDescent="0.35">
      <c r="B25" s="169"/>
      <c r="C25" s="170"/>
      <c r="D25" s="170"/>
      <c r="E25" s="170"/>
      <c r="F25" s="170"/>
      <c r="G25" s="170"/>
      <c r="H25" s="171"/>
    </row>
    <row r="26" spans="2:8" x14ac:dyDescent="0.35">
      <c r="B26" s="172"/>
      <c r="C26" s="173"/>
      <c r="D26" s="173"/>
      <c r="E26" s="173"/>
      <c r="F26" s="173"/>
      <c r="G26" s="173"/>
      <c r="H26" s="174"/>
    </row>
    <row r="27" spans="2:8" x14ac:dyDescent="0.35">
      <c r="B27" s="172"/>
      <c r="C27" s="173"/>
      <c r="D27" s="173"/>
      <c r="E27" s="173"/>
      <c r="F27" s="173"/>
      <c r="G27" s="173"/>
      <c r="H27" s="174"/>
    </row>
    <row r="28" spans="2:8" x14ac:dyDescent="0.35">
      <c r="B28" s="172"/>
      <c r="C28" s="173"/>
      <c r="D28" s="173"/>
      <c r="E28" s="173"/>
      <c r="F28" s="173"/>
      <c r="G28" s="173"/>
      <c r="H28" s="174"/>
    </row>
    <row r="29" spans="2:8" x14ac:dyDescent="0.35">
      <c r="B29" s="172"/>
      <c r="C29" s="173"/>
      <c r="D29" s="173"/>
      <c r="E29" s="173"/>
      <c r="F29" s="173"/>
      <c r="G29" s="173"/>
      <c r="H29" s="174"/>
    </row>
    <row r="30" spans="2:8" x14ac:dyDescent="0.35">
      <c r="B30" s="172"/>
      <c r="C30" s="173"/>
      <c r="D30" s="173"/>
      <c r="E30" s="173"/>
      <c r="F30" s="173"/>
      <c r="G30" s="173"/>
      <c r="H30" s="174"/>
    </row>
    <row r="31" spans="2:8" x14ac:dyDescent="0.35">
      <c r="B31" s="172"/>
      <c r="C31" s="173"/>
      <c r="D31" s="173"/>
      <c r="E31" s="173"/>
      <c r="F31" s="173"/>
      <c r="G31" s="173"/>
      <c r="H31" s="174"/>
    </row>
    <row r="32" spans="2:8" x14ac:dyDescent="0.35">
      <c r="B32" s="172"/>
      <c r="C32" s="173"/>
      <c r="D32" s="173"/>
      <c r="E32" s="173"/>
      <c r="F32" s="173"/>
      <c r="G32" s="173"/>
      <c r="H32" s="174"/>
    </row>
    <row r="33" spans="2:8" x14ac:dyDescent="0.35">
      <c r="B33" s="172"/>
      <c r="C33" s="173"/>
      <c r="D33" s="173"/>
      <c r="E33" s="173"/>
      <c r="F33" s="173"/>
      <c r="G33" s="173"/>
      <c r="H33" s="174"/>
    </row>
    <row r="34" spans="2:8" x14ac:dyDescent="0.35">
      <c r="B34" s="172"/>
      <c r="C34" s="173"/>
      <c r="D34" s="173"/>
      <c r="E34" s="173"/>
      <c r="F34" s="173"/>
      <c r="G34" s="173"/>
      <c r="H34" s="174"/>
    </row>
    <row r="35" spans="2:8" x14ac:dyDescent="0.35">
      <c r="B35" s="172"/>
      <c r="C35" s="173"/>
      <c r="D35" s="173"/>
      <c r="E35" s="173"/>
      <c r="F35" s="173"/>
      <c r="G35" s="173"/>
      <c r="H35" s="174"/>
    </row>
    <row r="36" spans="2:8" ht="15" thickBot="1" x14ac:dyDescent="0.4">
      <c r="B36" s="175"/>
      <c r="C36" s="176"/>
      <c r="D36" s="176"/>
      <c r="E36" s="176"/>
      <c r="F36" s="176"/>
      <c r="G36" s="176"/>
      <c r="H36" s="177"/>
    </row>
  </sheetData>
  <mergeCells count="1">
    <mergeCell ref="B2:H2"/>
  </mergeCells>
  <conditionalFormatting sqref="C5">
    <cfRule type="expression" dxfId="32" priority="2">
      <formula>$C$5&gt;$B$5</formula>
    </cfRule>
    <cfRule type="expression" dxfId="31" priority="3">
      <formula>$C$5&lt;$B$5</formula>
    </cfRule>
  </conditionalFormatting>
  <conditionalFormatting sqref="G8:G22">
    <cfRule type="dataBar" priority="1">
      <dataBar>
        <cfvo type="min"/>
        <cfvo type="max"/>
        <color rgb="FF008AEF"/>
      </dataBar>
      <extLst>
        <ext xmlns:x14="http://schemas.microsoft.com/office/spreadsheetml/2009/9/main" uri="{B025F937-C7B1-47D3-B67F-A62EFF666E3E}">
          <x14:id>{688B83C9-4689-47C9-8F79-946E34C5EF31}</x14:id>
        </ext>
      </extLst>
    </cfRule>
  </conditionalFormatting>
  <pageMargins left="0.7" right="0.7" top="0.75" bottom="0.75" header="0.3" footer="0.3"/>
  <pageSetup orientation="portrait" horizontalDpi="4294967293" verticalDpi="4294967293"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88B83C9-4689-47C9-8F79-946E34C5EF31}">
            <x14:dataBar minLength="0" maxLength="100" border="1" negativeBarBorderColorSameAsPositive="0">
              <x14:cfvo type="autoMin"/>
              <x14:cfvo type="autoMax"/>
              <x14:borderColor rgb="FF008AEF"/>
              <x14:negativeFillColor rgb="FFFF0000"/>
              <x14:negativeBorderColor rgb="FFFF0000"/>
              <x14:axisColor rgb="FF000000"/>
            </x14:dataBar>
          </x14:cfRule>
          <xm:sqref>G8:G22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7" tint="0.59999389629810485"/>
  </sheetPr>
  <dimension ref="B2:F27"/>
  <sheetViews>
    <sheetView topLeftCell="A3" zoomScale="70" zoomScaleNormal="70" workbookViewId="0">
      <selection activeCell="D18" sqref="D18"/>
    </sheetView>
  </sheetViews>
  <sheetFormatPr defaultRowHeight="14.5" x14ac:dyDescent="0.35"/>
  <cols>
    <col min="2" max="2" width="3.6328125" customWidth="1"/>
    <col min="3" max="3" width="27.26953125" customWidth="1"/>
    <col min="4" max="4" width="34.6328125" customWidth="1"/>
    <col min="5" max="5" width="4.54296875" customWidth="1"/>
    <col min="6" max="6" width="3.6328125" customWidth="1"/>
  </cols>
  <sheetData>
    <row r="2" spans="2:6" ht="23.5" x14ac:dyDescent="0.35">
      <c r="B2" s="326" t="s">
        <v>848</v>
      </c>
      <c r="C2" s="327"/>
      <c r="D2" s="327"/>
      <c r="E2" s="327"/>
      <c r="F2" s="328"/>
    </row>
    <row r="4" spans="2:6" x14ac:dyDescent="0.35">
      <c r="B4" s="286"/>
      <c r="C4" s="286"/>
      <c r="D4" s="286"/>
      <c r="E4" s="286"/>
      <c r="F4" s="286"/>
    </row>
    <row r="5" spans="2:6" ht="29.5" customHeight="1" x14ac:dyDescent="0.35">
      <c r="B5" s="286"/>
      <c r="C5" s="338" t="s">
        <v>849</v>
      </c>
      <c r="D5" s="338"/>
      <c r="E5" s="338"/>
      <c r="F5" s="286"/>
    </row>
    <row r="6" spans="2:6" ht="27" customHeight="1" x14ac:dyDescent="0.35">
      <c r="B6" s="286"/>
      <c r="C6" s="287" t="s">
        <v>1099</v>
      </c>
      <c r="D6" s="288"/>
      <c r="E6" s="289"/>
      <c r="F6" s="286"/>
    </row>
    <row r="7" spans="2:6" ht="34.5" customHeight="1" x14ac:dyDescent="0.35">
      <c r="B7" s="286"/>
      <c r="C7" s="290" t="s">
        <v>854</v>
      </c>
      <c r="D7" s="283"/>
      <c r="E7" s="289"/>
      <c r="F7" s="286"/>
    </row>
    <row r="8" spans="2:6" ht="34.5" customHeight="1" x14ac:dyDescent="0.35">
      <c r="B8" s="286"/>
      <c r="C8" s="290" t="s">
        <v>853</v>
      </c>
      <c r="D8" s="283"/>
      <c r="E8" s="289"/>
      <c r="F8" s="286"/>
    </row>
    <row r="9" spans="2:6" ht="34.5" customHeight="1" x14ac:dyDescent="0.35">
      <c r="B9" s="286"/>
      <c r="C9" s="301">
        <f ca="1">TODAY()</f>
        <v>44359</v>
      </c>
      <c r="D9" s="295"/>
      <c r="E9" s="289"/>
      <c r="F9" s="286"/>
    </row>
    <row r="10" spans="2:6" ht="34.5" customHeight="1" x14ac:dyDescent="0.35">
      <c r="B10" s="286"/>
      <c r="C10" s="292" t="s">
        <v>1094</v>
      </c>
      <c r="D10" s="296"/>
      <c r="E10" s="289"/>
      <c r="F10" s="286"/>
    </row>
    <row r="11" spans="2:6" ht="24.5" customHeight="1" x14ac:dyDescent="0.35">
      <c r="B11" s="286"/>
      <c r="C11" s="292"/>
      <c r="D11" s="291"/>
      <c r="E11" s="289"/>
      <c r="F11" s="286"/>
    </row>
    <row r="12" spans="2:6" ht="22.5" customHeight="1" x14ac:dyDescent="0.35">
      <c r="B12" s="286"/>
      <c r="C12" s="293" t="s">
        <v>1092</v>
      </c>
      <c r="D12" s="291"/>
      <c r="E12" s="289"/>
      <c r="F12" s="286"/>
    </row>
    <row r="13" spans="2:6" ht="34.5" customHeight="1" x14ac:dyDescent="0.35">
      <c r="B13" s="286"/>
      <c r="C13" s="290" t="s">
        <v>847</v>
      </c>
      <c r="D13" s="285">
        <f ca="1">TODAY()</f>
        <v>44359</v>
      </c>
      <c r="E13" s="289"/>
      <c r="F13" s="286"/>
    </row>
    <row r="14" spans="2:6" ht="34.5" customHeight="1" x14ac:dyDescent="0.35">
      <c r="B14" s="286"/>
      <c r="C14" s="292" t="s">
        <v>1095</v>
      </c>
      <c r="D14" s="297"/>
      <c r="E14" s="289"/>
      <c r="F14" s="286"/>
    </row>
    <row r="15" spans="2:6" ht="34.5" customHeight="1" x14ac:dyDescent="0.35">
      <c r="B15" s="286"/>
      <c r="C15" s="292" t="s">
        <v>1096</v>
      </c>
      <c r="D15" s="294"/>
      <c r="E15" s="289"/>
      <c r="F15" s="286"/>
    </row>
    <row r="16" spans="2:6" ht="24.5" customHeight="1" x14ac:dyDescent="0.35">
      <c r="B16" s="286"/>
      <c r="C16" s="290"/>
      <c r="D16" s="294"/>
      <c r="E16" s="289"/>
      <c r="F16" s="286"/>
    </row>
    <row r="17" spans="2:6" ht="22.5" customHeight="1" x14ac:dyDescent="0.35">
      <c r="B17" s="286"/>
      <c r="C17" s="293" t="s">
        <v>1093</v>
      </c>
      <c r="D17" s="294"/>
      <c r="E17" s="289"/>
      <c r="F17" s="286"/>
    </row>
    <row r="18" spans="2:6" ht="34.5" customHeight="1" x14ac:dyDescent="0.35">
      <c r="B18" s="286"/>
      <c r="C18" s="292" t="s">
        <v>1097</v>
      </c>
      <c r="D18" s="298">
        <f>WIP!H12</f>
        <v>15</v>
      </c>
      <c r="E18" s="289"/>
      <c r="F18" s="286"/>
    </row>
    <row r="19" spans="2:6" ht="34.5" customHeight="1" x14ac:dyDescent="0.35">
      <c r="B19" s="286"/>
      <c r="C19" s="290" t="s">
        <v>866</v>
      </c>
      <c r="D19" s="284" t="str">
        <f>IF(WIP!E2,"10%","0")</f>
        <v>0</v>
      </c>
      <c r="E19" s="289"/>
      <c r="F19" s="286"/>
    </row>
    <row r="20" spans="2:6" ht="34.5" customHeight="1" x14ac:dyDescent="0.35">
      <c r="B20" s="286"/>
      <c r="C20" s="290" t="s">
        <v>872</v>
      </c>
      <c r="D20" s="299">
        <f>WIP!H14</f>
        <v>0</v>
      </c>
      <c r="E20" s="289"/>
      <c r="F20" s="286"/>
    </row>
    <row r="21" spans="2:6" ht="34.5" customHeight="1" x14ac:dyDescent="0.35">
      <c r="B21" s="286"/>
      <c r="C21" s="290" t="s">
        <v>867</v>
      </c>
      <c r="D21" s="298">
        <f>WIP!H15</f>
        <v>2.25</v>
      </c>
      <c r="E21" s="289"/>
      <c r="F21" s="286"/>
    </row>
    <row r="22" spans="2:6" ht="34.5" customHeight="1" x14ac:dyDescent="0.35">
      <c r="B22" s="286"/>
      <c r="C22" s="290" t="s">
        <v>860</v>
      </c>
      <c r="D22" s="298">
        <f>WIP!H17</f>
        <v>17.25</v>
      </c>
      <c r="E22" s="289"/>
      <c r="F22" s="286"/>
    </row>
    <row r="23" spans="2:6" x14ac:dyDescent="0.35">
      <c r="B23" s="286"/>
      <c r="C23" s="289"/>
      <c r="D23" s="289"/>
      <c r="E23" s="289"/>
      <c r="F23" s="286"/>
    </row>
    <row r="24" spans="2:6" x14ac:dyDescent="0.35">
      <c r="B24" s="286"/>
      <c r="C24" s="289"/>
      <c r="D24" s="289"/>
      <c r="E24" s="289"/>
      <c r="F24" s="286"/>
    </row>
    <row r="25" spans="2:6" x14ac:dyDescent="0.35">
      <c r="B25" s="286"/>
      <c r="C25" s="289"/>
      <c r="D25" s="289"/>
      <c r="E25" s="289"/>
      <c r="F25" s="286"/>
    </row>
    <row r="26" spans="2:6" x14ac:dyDescent="0.35">
      <c r="B26" s="286"/>
      <c r="C26" s="289"/>
      <c r="D26" s="289"/>
      <c r="E26" s="289"/>
      <c r="F26" s="286"/>
    </row>
    <row r="27" spans="2:6" x14ac:dyDescent="0.35">
      <c r="B27" s="286"/>
      <c r="C27" s="286"/>
      <c r="D27" s="286"/>
      <c r="E27" s="286"/>
      <c r="F27" s="286"/>
    </row>
  </sheetData>
  <sheetProtection sheet="1" objects="1" scenarios="1"/>
  <mergeCells count="2">
    <mergeCell ref="C5:E5"/>
    <mergeCell ref="B2:F2"/>
  </mergeCells>
  <dataValidations count="3">
    <dataValidation type="date" allowBlank="1" showInputMessage="1" showErrorMessage="1" errorTitle="Error" error="Invalid Date" sqref="D13">
      <formula1>43101</formula1>
      <formula2>50770</formula2>
    </dataValidation>
    <dataValidation type="custom" allowBlank="1" showInputMessage="1" showErrorMessage="1" errorTitle="Error" error="Invalid phone number" promptTitle="Phone Number" prompt="Enter 10 digit phone number" sqref="D9">
      <formula1>AND(ISNUMBER(D9),LEN(D9) = 10)</formula1>
    </dataValidation>
    <dataValidation type="decimal" allowBlank="1" showInputMessage="1" showErrorMessage="1" errorTitle="Error" error="Invalid percentage! " sqref="D19">
      <formula1>0</formula1>
      <formula2>1</formula2>
    </dataValidation>
  </dataValidation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Drop Down 1">
              <controlPr defaultSize="0" autoLine="0" autoPict="0">
                <anchor moveWithCells="1">
                  <from>
                    <xdr:col>3</xdr:col>
                    <xdr:colOff>25400</xdr:colOff>
                    <xdr:row>13</xdr:row>
                    <xdr:rowOff>31750</xdr:rowOff>
                  </from>
                  <to>
                    <xdr:col>3</xdr:col>
                    <xdr:colOff>2393950</xdr:colOff>
                    <xdr:row>13</xdr:row>
                    <xdr:rowOff>406400</xdr:rowOff>
                  </to>
                </anchor>
              </controlPr>
            </control>
          </mc:Choice>
        </mc:AlternateContent>
        <mc:AlternateContent xmlns:mc="http://schemas.openxmlformats.org/markup-compatibility/2006">
          <mc:Choice Requires="x14">
            <control shapeId="17410" r:id="rId5" name="Group Box 2">
              <controlPr defaultSize="0" autoFill="0" autoPict="0">
                <anchor moveWithCells="1">
                  <from>
                    <xdr:col>3</xdr:col>
                    <xdr:colOff>12700</xdr:colOff>
                    <xdr:row>14</xdr:row>
                    <xdr:rowOff>0</xdr:rowOff>
                  </from>
                  <to>
                    <xdr:col>4</xdr:col>
                    <xdr:colOff>0</xdr:colOff>
                    <xdr:row>14</xdr:row>
                    <xdr:rowOff>368300</xdr:rowOff>
                  </to>
                </anchor>
              </controlPr>
            </control>
          </mc:Choice>
        </mc:AlternateContent>
        <mc:AlternateContent xmlns:mc="http://schemas.openxmlformats.org/markup-compatibility/2006">
          <mc:Choice Requires="x14">
            <control shapeId="17411" r:id="rId6" name="Option Button 3">
              <controlPr defaultSize="0" autoFill="0" autoLine="0" autoPict="0">
                <anchor moveWithCells="1">
                  <from>
                    <xdr:col>3</xdr:col>
                    <xdr:colOff>133350</xdr:colOff>
                    <xdr:row>14</xdr:row>
                    <xdr:rowOff>82550</xdr:rowOff>
                  </from>
                  <to>
                    <xdr:col>3</xdr:col>
                    <xdr:colOff>336550</xdr:colOff>
                    <xdr:row>14</xdr:row>
                    <xdr:rowOff>304800</xdr:rowOff>
                  </to>
                </anchor>
              </controlPr>
            </control>
          </mc:Choice>
        </mc:AlternateContent>
        <mc:AlternateContent xmlns:mc="http://schemas.openxmlformats.org/markup-compatibility/2006">
          <mc:Choice Requires="x14">
            <control shapeId="17412" r:id="rId7" name="Option Button 4">
              <controlPr defaultSize="0" autoFill="0" autoLine="0" autoPict="0">
                <anchor moveWithCells="1">
                  <from>
                    <xdr:col>3</xdr:col>
                    <xdr:colOff>615950</xdr:colOff>
                    <xdr:row>14</xdr:row>
                    <xdr:rowOff>82550</xdr:rowOff>
                  </from>
                  <to>
                    <xdr:col>3</xdr:col>
                    <xdr:colOff>819150</xdr:colOff>
                    <xdr:row>14</xdr:row>
                    <xdr:rowOff>304800</xdr:rowOff>
                  </to>
                </anchor>
              </controlPr>
            </control>
          </mc:Choice>
        </mc:AlternateContent>
        <mc:AlternateContent xmlns:mc="http://schemas.openxmlformats.org/markup-compatibility/2006">
          <mc:Choice Requires="x14">
            <control shapeId="17413" r:id="rId8" name="Option Button 5">
              <controlPr defaultSize="0" autoFill="0" autoLine="0" autoPict="0">
                <anchor moveWithCells="1">
                  <from>
                    <xdr:col>3</xdr:col>
                    <xdr:colOff>1092200</xdr:colOff>
                    <xdr:row>14</xdr:row>
                    <xdr:rowOff>82550</xdr:rowOff>
                  </from>
                  <to>
                    <xdr:col>3</xdr:col>
                    <xdr:colOff>1295400</xdr:colOff>
                    <xdr:row>14</xdr:row>
                    <xdr:rowOff>304800</xdr:rowOff>
                  </to>
                </anchor>
              </controlPr>
            </control>
          </mc:Choice>
        </mc:AlternateContent>
        <mc:AlternateContent xmlns:mc="http://schemas.openxmlformats.org/markup-compatibility/2006">
          <mc:Choice Requires="x14">
            <control shapeId="17414" r:id="rId9" name="Option Button 6">
              <controlPr defaultSize="0" autoFill="0" autoLine="0" autoPict="0">
                <anchor moveWithCells="1">
                  <from>
                    <xdr:col>3</xdr:col>
                    <xdr:colOff>1574800</xdr:colOff>
                    <xdr:row>14</xdr:row>
                    <xdr:rowOff>82550</xdr:rowOff>
                  </from>
                  <to>
                    <xdr:col>3</xdr:col>
                    <xdr:colOff>1778000</xdr:colOff>
                    <xdr:row>14</xdr:row>
                    <xdr:rowOff>304800</xdr:rowOff>
                  </to>
                </anchor>
              </controlPr>
            </control>
          </mc:Choice>
        </mc:AlternateContent>
        <mc:AlternateContent xmlns:mc="http://schemas.openxmlformats.org/markup-compatibility/2006">
          <mc:Choice Requires="x14">
            <control shapeId="17415" r:id="rId10" name="Option Button 7">
              <controlPr defaultSize="0" autoFill="0" autoLine="0" autoPict="0">
                <anchor moveWithCells="1">
                  <from>
                    <xdr:col>3</xdr:col>
                    <xdr:colOff>2057400</xdr:colOff>
                    <xdr:row>14</xdr:row>
                    <xdr:rowOff>82550</xdr:rowOff>
                  </from>
                  <to>
                    <xdr:col>3</xdr:col>
                    <xdr:colOff>2260600</xdr:colOff>
                    <xdr:row>14</xdr:row>
                    <xdr:rowOff>304800</xdr:rowOff>
                  </to>
                </anchor>
              </controlPr>
            </control>
          </mc:Choice>
        </mc:AlternateContent>
        <mc:AlternateContent xmlns:mc="http://schemas.openxmlformats.org/markup-compatibility/2006">
          <mc:Choice Requires="x14">
            <control shapeId="17416" r:id="rId11" name="Check Box 8">
              <controlPr defaultSize="0" autoFill="0" autoLine="0" autoPict="0">
                <anchor moveWithCells="1">
                  <from>
                    <xdr:col>3</xdr:col>
                    <xdr:colOff>806450</xdr:colOff>
                    <xdr:row>8</xdr:row>
                    <xdr:rowOff>425450</xdr:rowOff>
                  </from>
                  <to>
                    <xdr:col>3</xdr:col>
                    <xdr:colOff>1809750</xdr:colOff>
                    <xdr:row>9</xdr:row>
                    <xdr:rowOff>387350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8" tint="0.59999389629810485"/>
  </sheetPr>
  <dimension ref="B2:Y32"/>
  <sheetViews>
    <sheetView workbookViewId="0">
      <selection activeCell="H24" sqref="H24"/>
    </sheetView>
  </sheetViews>
  <sheetFormatPr defaultRowHeight="14.5" x14ac:dyDescent="0.35"/>
  <cols>
    <col min="1" max="1" width="4.54296875" customWidth="1"/>
    <col min="2" max="2" width="17.6328125" bestFit="1" customWidth="1"/>
    <col min="3" max="3" width="10.7265625" bestFit="1" customWidth="1"/>
    <col min="4" max="4" width="13.453125" bestFit="1" customWidth="1"/>
    <col min="5" max="5" width="4.54296875" customWidth="1"/>
    <col min="6" max="6" width="12.81640625" customWidth="1"/>
    <col min="7" max="7" width="17.6328125" bestFit="1" customWidth="1"/>
    <col min="8" max="8" width="12.1796875" bestFit="1" customWidth="1"/>
    <col min="9" max="9" width="4.54296875" customWidth="1"/>
    <col min="10" max="21" width="15.81640625" customWidth="1"/>
  </cols>
  <sheetData>
    <row r="2" spans="2:25" ht="23.5" x14ac:dyDescent="0.35">
      <c r="B2" s="326" t="s">
        <v>861</v>
      </c>
      <c r="C2" s="327"/>
      <c r="D2" s="327"/>
      <c r="E2" s="327"/>
      <c r="F2" s="327"/>
      <c r="G2" s="327"/>
      <c r="H2" s="327"/>
      <c r="I2" s="327"/>
      <c r="J2" s="327"/>
      <c r="K2" s="327"/>
      <c r="L2" s="327"/>
      <c r="M2" s="327"/>
      <c r="N2" s="327"/>
      <c r="O2" s="327"/>
      <c r="P2" s="327"/>
      <c r="Q2" s="327"/>
      <c r="R2" s="327"/>
      <c r="S2" s="327"/>
      <c r="T2" s="327"/>
      <c r="U2" s="328"/>
    </row>
    <row r="3" spans="2:25" ht="15" thickBot="1" x14ac:dyDescent="0.4"/>
    <row r="4" spans="2:25" ht="15" thickBot="1" x14ac:dyDescent="0.4">
      <c r="B4" s="198" t="s">
        <v>863</v>
      </c>
      <c r="C4" s="199" t="s">
        <v>862</v>
      </c>
      <c r="D4" s="200" t="s">
        <v>846</v>
      </c>
      <c r="E4" s="12"/>
      <c r="F4" s="220" t="s">
        <v>880</v>
      </c>
      <c r="G4" s="340" t="s">
        <v>882</v>
      </c>
      <c r="H4" s="341"/>
      <c r="J4" s="342" t="s">
        <v>874</v>
      </c>
      <c r="K4" s="343"/>
      <c r="L4" s="343"/>
      <c r="M4" s="343"/>
      <c r="N4" s="343"/>
      <c r="O4" s="343"/>
      <c r="P4" s="343"/>
      <c r="Q4" s="343"/>
      <c r="R4" s="343"/>
      <c r="S4" s="343"/>
      <c r="T4" s="343"/>
      <c r="U4" s="344"/>
    </row>
    <row r="5" spans="2:25" ht="15" thickBot="1" x14ac:dyDescent="0.4">
      <c r="B5" s="201">
        <v>1</v>
      </c>
      <c r="C5" s="202">
        <v>1</v>
      </c>
      <c r="D5" s="203" t="b">
        <v>0</v>
      </c>
      <c r="E5" s="12"/>
      <c r="F5" s="245" t="s">
        <v>879</v>
      </c>
      <c r="G5" s="208" t="s">
        <v>851</v>
      </c>
      <c r="H5" s="209">
        <f>'Rewards Member Orders'!D7</f>
        <v>0</v>
      </c>
      <c r="J5" s="219" t="s">
        <v>850</v>
      </c>
      <c r="K5" s="219" t="s">
        <v>868</v>
      </c>
      <c r="L5" s="219" t="s">
        <v>875</v>
      </c>
      <c r="M5" s="219" t="s">
        <v>846</v>
      </c>
      <c r="N5" s="219" t="s">
        <v>778</v>
      </c>
      <c r="O5" s="219" t="s">
        <v>847</v>
      </c>
      <c r="P5" s="219" t="s">
        <v>862</v>
      </c>
      <c r="Q5" s="219" t="s">
        <v>876</v>
      </c>
      <c r="R5" s="219" t="s">
        <v>877</v>
      </c>
      <c r="S5" s="219" t="s">
        <v>878</v>
      </c>
      <c r="T5" s="219" t="s">
        <v>864</v>
      </c>
      <c r="U5" s="219" t="s">
        <v>869</v>
      </c>
    </row>
    <row r="6" spans="2:25" ht="15" thickBot="1" x14ac:dyDescent="0.4">
      <c r="F6" s="246" t="s">
        <v>879</v>
      </c>
      <c r="G6" s="211" t="s">
        <v>852</v>
      </c>
      <c r="H6" s="212">
        <f>'Rewards Member Orders'!D8</f>
        <v>0</v>
      </c>
      <c r="J6" s="12">
        <f>H5</f>
        <v>0</v>
      </c>
      <c r="K6" s="12">
        <f>H6</f>
        <v>0</v>
      </c>
      <c r="L6" s="196">
        <f>H7</f>
        <v>0</v>
      </c>
      <c r="M6" s="12" t="str">
        <f>H11</f>
        <v>Existing</v>
      </c>
      <c r="N6" s="12" t="str">
        <f>H9</f>
        <v>Beer</v>
      </c>
      <c r="O6" s="197">
        <f ca="1">H8</f>
        <v>44359</v>
      </c>
      <c r="P6" s="12">
        <f>H10</f>
        <v>1</v>
      </c>
      <c r="Q6" s="154">
        <f>H12</f>
        <v>15</v>
      </c>
      <c r="R6" s="92" t="str">
        <f>H13</f>
        <v>0</v>
      </c>
      <c r="S6" s="154">
        <f>H14</f>
        <v>0</v>
      </c>
      <c r="T6" s="154">
        <f>H15</f>
        <v>2.25</v>
      </c>
      <c r="U6" s="154">
        <f>H17</f>
        <v>17.25</v>
      </c>
    </row>
    <row r="7" spans="2:25" ht="15" thickBot="1" x14ac:dyDescent="0.4">
      <c r="B7" s="339" t="s">
        <v>778</v>
      </c>
      <c r="C7" s="340"/>
      <c r="D7" s="204" t="s">
        <v>865</v>
      </c>
      <c r="E7" s="12"/>
      <c r="F7" s="246" t="s">
        <v>879</v>
      </c>
      <c r="G7" s="211" t="s">
        <v>855</v>
      </c>
      <c r="H7" s="212">
        <f>'Rewards Member Orders'!D9</f>
        <v>0</v>
      </c>
    </row>
    <row r="8" spans="2:25" x14ac:dyDescent="0.35">
      <c r="B8" s="208">
        <v>1</v>
      </c>
      <c r="C8" s="14" t="s">
        <v>9</v>
      </c>
      <c r="D8" s="205">
        <v>15</v>
      </c>
      <c r="E8" s="154"/>
      <c r="F8" s="247" t="s">
        <v>879</v>
      </c>
      <c r="G8" s="211" t="s">
        <v>1098</v>
      </c>
      <c r="H8" s="213">
        <f ca="1">'Rewards Member Orders'!D13</f>
        <v>44359</v>
      </c>
    </row>
    <row r="9" spans="2:25" x14ac:dyDescent="0.35">
      <c r="B9" s="211">
        <v>2</v>
      </c>
      <c r="C9" s="17" t="s">
        <v>15</v>
      </c>
      <c r="D9" s="206">
        <v>30</v>
      </c>
      <c r="E9" s="154"/>
      <c r="F9" s="246" t="s">
        <v>861</v>
      </c>
      <c r="G9" s="211" t="s">
        <v>856</v>
      </c>
      <c r="H9" s="214" t="str">
        <f>VLOOKUP(B5,B8:C17,2,FALSE)</f>
        <v>Beer</v>
      </c>
    </row>
    <row r="10" spans="2:25" x14ac:dyDescent="0.35">
      <c r="B10" s="211">
        <v>3</v>
      </c>
      <c r="C10" s="17" t="s">
        <v>12</v>
      </c>
      <c r="D10" s="206">
        <v>25</v>
      </c>
      <c r="E10" s="154"/>
      <c r="F10" s="246" t="s">
        <v>861</v>
      </c>
      <c r="G10" s="211" t="s">
        <v>857</v>
      </c>
      <c r="H10" s="214">
        <f>C5</f>
        <v>1</v>
      </c>
      <c r="N10" s="12"/>
      <c r="O10" s="12"/>
      <c r="P10" s="196"/>
      <c r="Q10" s="197"/>
      <c r="R10" s="12"/>
      <c r="S10" s="12"/>
      <c r="T10" s="12"/>
      <c r="U10" s="154"/>
      <c r="V10" s="154"/>
      <c r="W10" s="154"/>
      <c r="X10" s="154"/>
      <c r="Y10" s="154"/>
    </row>
    <row r="11" spans="2:25" x14ac:dyDescent="0.35">
      <c r="B11" s="211">
        <v>4</v>
      </c>
      <c r="C11" s="17" t="s">
        <v>13</v>
      </c>
      <c r="D11" s="206">
        <v>28</v>
      </c>
      <c r="E11" s="154"/>
      <c r="F11" s="246" t="s">
        <v>861</v>
      </c>
      <c r="G11" s="211" t="s">
        <v>858</v>
      </c>
      <c r="H11" s="214" t="str">
        <f>IF(D5,"New","Existing")</f>
        <v>Existing</v>
      </c>
    </row>
    <row r="12" spans="2:25" x14ac:dyDescent="0.35">
      <c r="B12" s="211">
        <v>5</v>
      </c>
      <c r="C12" s="17" t="s">
        <v>14</v>
      </c>
      <c r="D12" s="206">
        <v>28</v>
      </c>
      <c r="E12" s="154"/>
      <c r="F12" s="246"/>
      <c r="G12" s="211" t="s">
        <v>859</v>
      </c>
      <c r="H12" s="206">
        <f>VLOOKUP(B5,ProductListPrice,3,FALSE)</f>
        <v>15</v>
      </c>
    </row>
    <row r="13" spans="2:25" x14ac:dyDescent="0.35">
      <c r="B13" s="211">
        <v>6</v>
      </c>
      <c r="C13" s="17" t="s">
        <v>11</v>
      </c>
      <c r="D13" s="206">
        <v>25</v>
      </c>
      <c r="E13" s="154"/>
      <c r="F13" s="246" t="s">
        <v>879</v>
      </c>
      <c r="G13" s="211" t="s">
        <v>870</v>
      </c>
      <c r="H13" s="300" t="str">
        <f>'Rewards Member Orders'!D19</f>
        <v>0</v>
      </c>
    </row>
    <row r="14" spans="2:25" x14ac:dyDescent="0.35">
      <c r="B14" s="211">
        <v>7</v>
      </c>
      <c r="C14" s="17" t="s">
        <v>16</v>
      </c>
      <c r="D14" s="206">
        <v>35</v>
      </c>
      <c r="E14" s="154"/>
      <c r="F14" s="210"/>
      <c r="G14" s="211" t="s">
        <v>872</v>
      </c>
      <c r="H14" s="215">
        <f>H16*H13</f>
        <v>0</v>
      </c>
    </row>
    <row r="15" spans="2:25" x14ac:dyDescent="0.35">
      <c r="B15" s="211">
        <v>8</v>
      </c>
      <c r="C15" s="17" t="s">
        <v>10</v>
      </c>
      <c r="D15" s="206">
        <v>32</v>
      </c>
      <c r="E15" s="154"/>
      <c r="F15" s="210"/>
      <c r="G15" s="211" t="s">
        <v>871</v>
      </c>
      <c r="H15" s="206">
        <f>(H12*H10)*(15%)</f>
        <v>2.25</v>
      </c>
    </row>
    <row r="16" spans="2:25" x14ac:dyDescent="0.35">
      <c r="B16" s="211">
        <v>9</v>
      </c>
      <c r="C16" s="17" t="s">
        <v>17</v>
      </c>
      <c r="D16" s="206">
        <v>22</v>
      </c>
      <c r="E16" s="154"/>
      <c r="F16" s="210"/>
      <c r="G16" s="211" t="s">
        <v>873</v>
      </c>
      <c r="H16" s="206">
        <f>(H15+H12)</f>
        <v>17.25</v>
      </c>
    </row>
    <row r="17" spans="2:8" ht="15" thickBot="1" x14ac:dyDescent="0.4">
      <c r="B17" s="217">
        <v>10</v>
      </c>
      <c r="C17" s="22" t="s">
        <v>333</v>
      </c>
      <c r="D17" s="207">
        <v>20</v>
      </c>
      <c r="E17" s="154"/>
      <c r="F17" s="216"/>
      <c r="G17" s="217" t="s">
        <v>860</v>
      </c>
      <c r="H17" s="207">
        <f>(H15+H12)-H14</f>
        <v>17.25</v>
      </c>
    </row>
    <row r="22" spans="2:8" x14ac:dyDescent="0.35">
      <c r="C22" s="195"/>
    </row>
    <row r="32" spans="2:8" x14ac:dyDescent="0.35">
      <c r="D32" s="154"/>
      <c r="E32" s="154"/>
    </row>
  </sheetData>
  <mergeCells count="4">
    <mergeCell ref="B7:C7"/>
    <mergeCell ref="G4:H4"/>
    <mergeCell ref="B2:U2"/>
    <mergeCell ref="J4:U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7" tint="0.59999389629810485"/>
  </sheetPr>
  <dimension ref="A2:P24"/>
  <sheetViews>
    <sheetView workbookViewId="0">
      <selection activeCell="O4" sqref="O4"/>
    </sheetView>
  </sheetViews>
  <sheetFormatPr defaultRowHeight="14.5" x14ac:dyDescent="0.35"/>
  <cols>
    <col min="1" max="1" width="3.7265625" customWidth="1"/>
    <col min="2" max="13" width="15.36328125" customWidth="1"/>
    <col min="14" max="14" width="5.08984375" customWidth="1"/>
  </cols>
  <sheetData>
    <row r="2" spans="1:16" ht="23.5" x14ac:dyDescent="0.35">
      <c r="B2" s="326" t="s">
        <v>881</v>
      </c>
      <c r="C2" s="327"/>
      <c r="D2" s="327"/>
      <c r="E2" s="327"/>
      <c r="F2" s="327"/>
      <c r="G2" s="327"/>
      <c r="H2" s="327"/>
      <c r="I2" s="327"/>
      <c r="J2" s="327"/>
      <c r="K2" s="327"/>
      <c r="L2" s="327"/>
      <c r="M2" s="327"/>
      <c r="N2" s="327"/>
      <c r="O2" s="327"/>
      <c r="P2" s="328"/>
    </row>
    <row r="3" spans="1:16" ht="27.5" customHeight="1" x14ac:dyDescent="0.35"/>
    <row r="4" spans="1:16" x14ac:dyDescent="0.35">
      <c r="B4" s="218" t="s">
        <v>850</v>
      </c>
      <c r="C4" s="218" t="s">
        <v>868</v>
      </c>
      <c r="D4" s="218" t="s">
        <v>875</v>
      </c>
      <c r="E4" s="218" t="s">
        <v>846</v>
      </c>
      <c r="F4" s="218" t="s">
        <v>778</v>
      </c>
      <c r="G4" s="218" t="s">
        <v>847</v>
      </c>
      <c r="H4" s="218" t="s">
        <v>862</v>
      </c>
      <c r="I4" s="218" t="s">
        <v>876</v>
      </c>
      <c r="J4" s="218" t="s">
        <v>877</v>
      </c>
      <c r="K4" s="218" t="s">
        <v>878</v>
      </c>
      <c r="L4" s="218" t="s">
        <v>864</v>
      </c>
      <c r="M4" s="218" t="s">
        <v>869</v>
      </c>
    </row>
    <row r="5" spans="1:16" x14ac:dyDescent="0.35">
      <c r="B5" s="261" t="s">
        <v>920</v>
      </c>
      <c r="C5" s="261" t="s">
        <v>919</v>
      </c>
      <c r="D5" s="196">
        <v>1234567890</v>
      </c>
      <c r="E5" s="261" t="s">
        <v>813</v>
      </c>
      <c r="F5" s="261" t="s">
        <v>16</v>
      </c>
      <c r="G5" s="197">
        <v>44334</v>
      </c>
      <c r="H5" s="261">
        <v>4</v>
      </c>
      <c r="I5" s="154">
        <v>35</v>
      </c>
      <c r="J5" s="92">
        <v>0.5</v>
      </c>
      <c r="K5" s="154">
        <v>28</v>
      </c>
      <c r="L5" s="154">
        <v>21</v>
      </c>
      <c r="M5" s="154">
        <v>28</v>
      </c>
    </row>
    <row r="6" spans="1:16" x14ac:dyDescent="0.35">
      <c r="B6" s="12" t="s">
        <v>919</v>
      </c>
      <c r="C6" s="12" t="s">
        <v>920</v>
      </c>
      <c r="D6" s="196">
        <v>1234567890</v>
      </c>
      <c r="E6" s="12" t="s">
        <v>813</v>
      </c>
      <c r="F6" s="12" t="s">
        <v>13</v>
      </c>
      <c r="G6" s="197">
        <v>44563</v>
      </c>
      <c r="H6" s="12">
        <v>3</v>
      </c>
      <c r="I6" s="154">
        <v>28</v>
      </c>
      <c r="J6" s="92">
        <v>0.5</v>
      </c>
      <c r="K6" s="154">
        <v>20.3</v>
      </c>
      <c r="L6" s="154">
        <v>12.6</v>
      </c>
      <c r="M6" s="154">
        <v>20.3</v>
      </c>
    </row>
    <row r="7" spans="1:16" x14ac:dyDescent="0.35">
      <c r="B7" s="12"/>
      <c r="C7" s="12"/>
      <c r="D7" s="196"/>
      <c r="E7" s="196"/>
      <c r="F7" s="12"/>
      <c r="G7" s="12"/>
      <c r="H7" s="12"/>
      <c r="I7" s="154"/>
      <c r="J7" s="92"/>
      <c r="K7" s="154"/>
      <c r="L7" s="154"/>
      <c r="M7" s="154"/>
    </row>
    <row r="8" spans="1:16" x14ac:dyDescent="0.35">
      <c r="B8" s="12"/>
      <c r="C8" s="12"/>
      <c r="D8" s="196"/>
      <c r="E8" s="196"/>
      <c r="F8" s="12"/>
      <c r="G8" s="12"/>
      <c r="H8" s="12"/>
      <c r="I8" s="154"/>
      <c r="J8" s="92"/>
      <c r="K8" s="154"/>
      <c r="L8" s="154"/>
      <c r="M8" s="154"/>
    </row>
    <row r="9" spans="1:16" s="244" customFormat="1" x14ac:dyDescent="0.35">
      <c r="A9"/>
      <c r="B9" s="243"/>
      <c r="C9" s="243"/>
      <c r="D9" s="243"/>
      <c r="E9" s="243"/>
      <c r="F9" s="243"/>
      <c r="G9" s="243"/>
      <c r="H9" s="243"/>
      <c r="I9" s="243"/>
      <c r="J9" s="243"/>
      <c r="K9" s="243"/>
      <c r="L9" s="243"/>
      <c r="M9" s="243"/>
    </row>
    <row r="10" spans="1:16" x14ac:dyDescent="0.35">
      <c r="B10" s="12"/>
      <c r="C10" s="12"/>
      <c r="D10" s="196"/>
      <c r="E10" s="196"/>
      <c r="F10" s="12"/>
      <c r="G10" s="12"/>
      <c r="H10" s="12"/>
      <c r="I10" s="154"/>
      <c r="J10" s="92"/>
      <c r="K10" s="154"/>
      <c r="L10" s="154"/>
      <c r="M10" s="154"/>
    </row>
    <row r="11" spans="1:16" x14ac:dyDescent="0.35">
      <c r="B11" s="12"/>
      <c r="C11" s="12"/>
      <c r="D11" s="196"/>
      <c r="E11" s="196"/>
      <c r="F11" s="12"/>
      <c r="G11" s="12"/>
      <c r="H11" s="12"/>
      <c r="I11" s="154"/>
      <c r="J11" s="92"/>
      <c r="K11" s="154"/>
      <c r="L11" s="154"/>
      <c r="M11" s="154"/>
    </row>
    <row r="12" spans="1:16" x14ac:dyDescent="0.35">
      <c r="B12" s="12"/>
      <c r="C12" s="12"/>
      <c r="D12" s="196"/>
      <c r="E12" s="196"/>
      <c r="F12" s="12"/>
      <c r="G12" s="12"/>
      <c r="H12" s="12"/>
      <c r="I12" s="154"/>
      <c r="J12" s="92"/>
      <c r="K12" s="154"/>
      <c r="L12" s="154"/>
      <c r="M12" s="154"/>
    </row>
    <row r="13" spans="1:16" x14ac:dyDescent="0.35">
      <c r="B13" s="12"/>
      <c r="C13" s="12"/>
      <c r="D13" s="196"/>
      <c r="E13" s="196"/>
      <c r="F13" s="12"/>
      <c r="G13" s="12"/>
      <c r="H13" s="12"/>
      <c r="I13" s="154"/>
      <c r="J13" s="92"/>
      <c r="K13" s="154"/>
      <c r="L13" s="154"/>
      <c r="M13" s="154"/>
    </row>
    <row r="14" spans="1:16" x14ac:dyDescent="0.35">
      <c r="B14" s="12"/>
      <c r="C14" s="12"/>
      <c r="D14" s="196"/>
      <c r="E14" s="196"/>
      <c r="F14" s="12"/>
      <c r="G14" s="12"/>
      <c r="H14" s="12"/>
      <c r="I14" s="154"/>
      <c r="J14" s="92"/>
      <c r="K14" s="154"/>
      <c r="L14" s="154"/>
      <c r="M14" s="154"/>
    </row>
    <row r="16" spans="1:16" x14ac:dyDescent="0.35">
      <c r="B16" s="12"/>
      <c r="C16" s="12"/>
      <c r="D16" s="196"/>
      <c r="E16" s="196"/>
      <c r="F16" s="12"/>
      <c r="G16" s="12"/>
      <c r="H16" s="12"/>
      <c r="I16" s="154"/>
      <c r="J16" s="154"/>
      <c r="K16" s="154"/>
      <c r="L16" s="154"/>
      <c r="M16" s="154"/>
    </row>
    <row r="17" spans="1:13" x14ac:dyDescent="0.35">
      <c r="B17" s="12"/>
      <c r="C17" s="12"/>
      <c r="D17" s="196"/>
      <c r="E17" s="196"/>
      <c r="F17" s="12"/>
      <c r="G17" s="12"/>
      <c r="H17" s="12"/>
      <c r="I17" s="154"/>
      <c r="J17" s="154"/>
      <c r="K17" s="154"/>
      <c r="L17" s="154"/>
      <c r="M17" s="154"/>
    </row>
    <row r="18" spans="1:13" x14ac:dyDescent="0.35">
      <c r="B18" s="12"/>
      <c r="C18" s="12"/>
      <c r="D18" s="196"/>
      <c r="E18" s="196"/>
      <c r="F18" s="12"/>
      <c r="G18" s="12"/>
      <c r="H18" s="12"/>
      <c r="I18" s="154"/>
      <c r="J18" s="154"/>
      <c r="K18" s="154"/>
      <c r="L18" s="154"/>
      <c r="M18" s="154"/>
    </row>
    <row r="19" spans="1:13" x14ac:dyDescent="0.35">
      <c r="B19" s="12"/>
      <c r="C19" s="12"/>
      <c r="D19" s="196"/>
      <c r="E19" s="196"/>
      <c r="F19" s="12"/>
      <c r="G19" s="12"/>
      <c r="H19" s="12"/>
      <c r="I19" s="154"/>
      <c r="J19" s="154"/>
      <c r="K19" s="154"/>
      <c r="L19" s="154"/>
      <c r="M19" s="154"/>
    </row>
    <row r="20" spans="1:13" x14ac:dyDescent="0.35">
      <c r="B20" s="12"/>
      <c r="C20" s="12"/>
      <c r="D20" s="196"/>
      <c r="E20" s="196"/>
      <c r="F20" s="12"/>
      <c r="G20" s="12"/>
      <c r="H20" s="12"/>
      <c r="I20" s="154"/>
      <c r="J20" s="154"/>
      <c r="K20" s="154"/>
      <c r="L20" s="154"/>
      <c r="M20" s="154"/>
    </row>
    <row r="21" spans="1:13" x14ac:dyDescent="0.35">
      <c r="B21" s="12"/>
      <c r="C21" s="12"/>
      <c r="D21" s="12"/>
      <c r="E21" s="261"/>
      <c r="F21" s="12"/>
      <c r="G21" s="12"/>
      <c r="H21" s="12"/>
      <c r="I21" s="12"/>
      <c r="J21" s="12"/>
      <c r="K21" s="12"/>
      <c r="L21" s="12"/>
      <c r="M21" s="12"/>
    </row>
    <row r="22" spans="1:13" x14ac:dyDescent="0.35">
      <c r="B22" s="12"/>
      <c r="C22" s="12"/>
      <c r="D22" s="196"/>
      <c r="E22" s="196"/>
      <c r="F22" s="12"/>
      <c r="G22" s="12"/>
      <c r="H22" s="12"/>
      <c r="I22" s="154"/>
      <c r="J22" s="154"/>
      <c r="K22" s="154"/>
      <c r="L22" s="154"/>
      <c r="M22" s="154"/>
    </row>
    <row r="23" spans="1:13" x14ac:dyDescent="0.35">
      <c r="B23" s="12"/>
      <c r="C23" s="12"/>
      <c r="D23" s="12"/>
      <c r="E23" s="261"/>
      <c r="F23" s="12"/>
      <c r="G23" s="12"/>
      <c r="H23" s="12"/>
      <c r="I23" s="12"/>
      <c r="J23" s="12"/>
      <c r="K23" s="12"/>
      <c r="L23" s="12"/>
      <c r="M23" s="12"/>
    </row>
    <row r="24" spans="1:13" x14ac:dyDescent="0.35">
      <c r="A24" s="12"/>
      <c r="B24" s="12"/>
      <c r="C24" s="196"/>
      <c r="D24" s="197"/>
      <c r="E24" s="197"/>
      <c r="F24" s="12"/>
      <c r="G24" s="12"/>
      <c r="H24" s="154"/>
      <c r="I24" s="154"/>
      <c r="J24" s="154"/>
      <c r="K24" s="154"/>
      <c r="L24" s="154"/>
    </row>
  </sheetData>
  <mergeCells count="1">
    <mergeCell ref="B2:P2"/>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8" tint="0.59999389629810485"/>
  </sheetPr>
  <dimension ref="B2:N1220"/>
  <sheetViews>
    <sheetView workbookViewId="0">
      <selection activeCell="P19" sqref="P19"/>
    </sheetView>
  </sheetViews>
  <sheetFormatPr defaultRowHeight="14.5" x14ac:dyDescent="0.35"/>
  <cols>
    <col min="1" max="1" width="4.54296875" customWidth="1"/>
    <col min="2" max="2" width="13.7265625" customWidth="1"/>
    <col min="3" max="3" width="11.6328125" customWidth="1"/>
    <col min="4" max="4" width="11" customWidth="1"/>
    <col min="5" max="5" width="7" customWidth="1"/>
    <col min="6" max="6" width="10.1796875" customWidth="1"/>
    <col min="8" max="8" width="11.36328125" customWidth="1"/>
    <col min="9" max="9" width="15.81640625" customWidth="1"/>
    <col min="10" max="10" width="7.36328125" customWidth="1"/>
    <col min="11" max="11" width="10.7265625" customWidth="1"/>
    <col min="12" max="12" width="8.453125" customWidth="1"/>
    <col min="13" max="13" width="10.7265625" customWidth="1"/>
    <col min="14" max="14" width="11.36328125" customWidth="1"/>
    <col min="15" max="17" width="8.453125" customWidth="1"/>
    <col min="18" max="19" width="9.453125" customWidth="1"/>
    <col min="20" max="39" width="9.453125" bestFit="1" customWidth="1"/>
    <col min="40" max="48" width="8.453125" customWidth="1"/>
    <col min="49" max="67" width="9.453125" bestFit="1" customWidth="1"/>
    <col min="68" max="76" width="8.453125" customWidth="1"/>
    <col min="77" max="98" width="9.453125" bestFit="1" customWidth="1"/>
    <col min="99" max="107" width="8.453125" customWidth="1"/>
    <col min="108" max="128" width="9.453125" bestFit="1" customWidth="1"/>
    <col min="129" max="137" width="8.453125" customWidth="1"/>
    <col min="138" max="159" width="9.453125" bestFit="1" customWidth="1"/>
    <col min="160" max="168" width="8.453125" customWidth="1"/>
    <col min="169" max="189" width="9.453125" bestFit="1" customWidth="1"/>
    <col min="190" max="198" width="8.453125" customWidth="1"/>
    <col min="199" max="220" width="9.453125" bestFit="1" customWidth="1"/>
    <col min="221" max="229" width="8.453125" customWidth="1"/>
    <col min="230" max="251" width="9.453125" bestFit="1" customWidth="1"/>
    <col min="252" max="260" width="8.453125" customWidth="1"/>
    <col min="261" max="290" width="9.453125" bestFit="1" customWidth="1"/>
    <col min="291" max="312" width="10.453125" bestFit="1" customWidth="1"/>
    <col min="313" max="321" width="9.453125" bestFit="1" customWidth="1"/>
    <col min="322" max="342" width="10.453125" bestFit="1" customWidth="1"/>
    <col min="343" max="351" width="9.453125" bestFit="1" customWidth="1"/>
    <col min="352" max="373" width="10.453125" bestFit="1" customWidth="1"/>
    <col min="374" max="382" width="8.453125" customWidth="1"/>
    <col min="383" max="404" width="9.453125" bestFit="1" customWidth="1"/>
    <col min="405" max="413" width="8.453125" customWidth="1"/>
    <col min="414" max="432" width="9.453125" bestFit="1" customWidth="1"/>
    <col min="433" max="441" width="8.453125" customWidth="1"/>
    <col min="442" max="463" width="9.453125" bestFit="1" customWidth="1"/>
    <col min="464" max="472" width="8.453125" customWidth="1"/>
    <col min="473" max="493" width="9.453125" bestFit="1" customWidth="1"/>
    <col min="494" max="502" width="8.453125" customWidth="1"/>
    <col min="503" max="524" width="9.453125" bestFit="1" customWidth="1"/>
    <col min="525" max="533" width="8.453125" customWidth="1"/>
    <col min="534" max="554" width="9.453125" bestFit="1" customWidth="1"/>
    <col min="555" max="563" width="8.453125" customWidth="1"/>
    <col min="564" max="585" width="9.453125" bestFit="1" customWidth="1"/>
    <col min="586" max="594" width="8.453125" customWidth="1"/>
    <col min="595" max="616" width="9.453125" bestFit="1" customWidth="1"/>
    <col min="617" max="625" width="8.453125" customWidth="1"/>
    <col min="626" max="655" width="9.453125" bestFit="1" customWidth="1"/>
    <col min="656" max="677" width="10.453125" bestFit="1" customWidth="1"/>
    <col min="678" max="686" width="9.453125" bestFit="1" customWidth="1"/>
    <col min="687" max="707" width="10.453125" bestFit="1" customWidth="1"/>
    <col min="708" max="716" width="9.453125" bestFit="1" customWidth="1"/>
    <col min="717" max="738" width="10.453125" bestFit="1" customWidth="1"/>
    <col min="739" max="747" width="8.453125" customWidth="1"/>
    <col min="748" max="769" width="9.453125" bestFit="1" customWidth="1"/>
    <col min="770" max="778" width="8.453125" customWidth="1"/>
    <col min="779" max="798" width="9.453125" bestFit="1" customWidth="1"/>
    <col min="799" max="807" width="8.453125" customWidth="1"/>
    <col min="808" max="829" width="9.453125" bestFit="1" customWidth="1"/>
    <col min="830" max="838" width="8.453125" customWidth="1"/>
    <col min="839" max="859" width="9.453125" bestFit="1" customWidth="1"/>
    <col min="860" max="868" width="8.453125" customWidth="1"/>
    <col min="869" max="890" width="9.453125" bestFit="1" customWidth="1"/>
    <col min="891" max="899" width="8.453125" customWidth="1"/>
    <col min="900" max="920" width="9.453125" bestFit="1" customWidth="1"/>
    <col min="921" max="929" width="8.453125" customWidth="1"/>
    <col min="930" max="951" width="9.453125" bestFit="1" customWidth="1"/>
    <col min="952" max="960" width="8.453125" customWidth="1"/>
    <col min="961" max="982" width="9.453125" bestFit="1" customWidth="1"/>
    <col min="983" max="991" width="8.453125" customWidth="1"/>
    <col min="992" max="1021" width="9.453125" bestFit="1" customWidth="1"/>
    <col min="1022" max="1043" width="10.453125" bestFit="1" customWidth="1"/>
    <col min="1044" max="1052" width="9.453125" bestFit="1" customWidth="1"/>
    <col min="1053" max="1073" width="10.453125" bestFit="1" customWidth="1"/>
    <col min="1074" max="1082" width="9.453125" bestFit="1" customWidth="1"/>
    <col min="1083" max="1104" width="10.453125" bestFit="1" customWidth="1"/>
    <col min="1105" max="1113" width="8.453125" customWidth="1"/>
    <col min="1114" max="1135" width="9.453125" bestFit="1" customWidth="1"/>
    <col min="1136" max="1144" width="8.453125" customWidth="1"/>
    <col min="1145" max="1163" width="9.453125" bestFit="1" customWidth="1"/>
    <col min="1164" max="1172" width="8.453125" customWidth="1"/>
    <col min="1173" max="1194" width="9.453125" bestFit="1" customWidth="1"/>
    <col min="1195" max="1203" width="8.453125" customWidth="1"/>
    <col min="1204" max="1224" width="9.453125" bestFit="1" customWidth="1"/>
    <col min="1225" max="1225" width="10.7265625" bestFit="1" customWidth="1"/>
  </cols>
  <sheetData>
    <row r="2" spans="2:14" ht="23.5" x14ac:dyDescent="0.35">
      <c r="B2" s="326" t="s">
        <v>834</v>
      </c>
      <c r="C2" s="327"/>
      <c r="D2" s="327"/>
      <c r="E2" s="327"/>
      <c r="F2" s="327"/>
      <c r="G2" s="327"/>
      <c r="H2" s="327"/>
      <c r="I2" s="327"/>
      <c r="J2" s="327"/>
      <c r="K2" s="327"/>
      <c r="L2" s="327"/>
      <c r="M2" s="327"/>
      <c r="N2" s="328"/>
    </row>
    <row r="4" spans="2:14" x14ac:dyDescent="0.35">
      <c r="B4" s="155" t="s">
        <v>808</v>
      </c>
      <c r="C4" s="156" t="s">
        <v>809</v>
      </c>
      <c r="D4" s="156" t="s">
        <v>778</v>
      </c>
      <c r="E4" s="157" t="s">
        <v>810</v>
      </c>
      <c r="F4" s="157" t="s">
        <v>811</v>
      </c>
      <c r="H4" s="158" t="s">
        <v>837</v>
      </c>
      <c r="I4" s="158" t="s">
        <v>846</v>
      </c>
      <c r="M4" s="158" t="s">
        <v>809</v>
      </c>
      <c r="N4" t="s">
        <v>815</v>
      </c>
    </row>
    <row r="5" spans="2:14" x14ac:dyDescent="0.35">
      <c r="B5" s="153">
        <v>43101</v>
      </c>
      <c r="C5" t="s">
        <v>813</v>
      </c>
      <c r="D5" t="s">
        <v>9</v>
      </c>
      <c r="E5" s="12">
        <v>3</v>
      </c>
      <c r="F5" s="154">
        <v>51</v>
      </c>
      <c r="H5" s="190" t="s">
        <v>778</v>
      </c>
      <c r="I5" s="157" t="s">
        <v>812</v>
      </c>
      <c r="J5" s="157" t="s">
        <v>813</v>
      </c>
      <c r="K5" s="157" t="s">
        <v>814</v>
      </c>
    </row>
    <row r="6" spans="2:14" x14ac:dyDescent="0.35">
      <c r="B6" s="153">
        <v>43102</v>
      </c>
      <c r="C6" t="s">
        <v>813</v>
      </c>
      <c r="D6" t="s">
        <v>15</v>
      </c>
      <c r="E6" s="12">
        <v>5</v>
      </c>
      <c r="F6" s="154">
        <v>24</v>
      </c>
      <c r="H6" s="189" t="s">
        <v>9</v>
      </c>
      <c r="I6" s="161">
        <v>1155</v>
      </c>
      <c r="J6" s="161">
        <v>2055</v>
      </c>
      <c r="K6" s="161">
        <v>3210</v>
      </c>
      <c r="M6" s="158" t="s">
        <v>847</v>
      </c>
      <c r="N6" t="s">
        <v>837</v>
      </c>
    </row>
    <row r="7" spans="2:14" x14ac:dyDescent="0.35">
      <c r="B7" s="153">
        <v>43103</v>
      </c>
      <c r="C7" t="s">
        <v>813</v>
      </c>
      <c r="D7" t="s">
        <v>10</v>
      </c>
      <c r="E7" s="12">
        <v>4</v>
      </c>
      <c r="F7" s="154">
        <v>45</v>
      </c>
      <c r="H7" s="189" t="s">
        <v>13</v>
      </c>
      <c r="I7" s="161">
        <v>1734</v>
      </c>
      <c r="J7" s="161">
        <v>1464</v>
      </c>
      <c r="K7" s="161">
        <v>3198</v>
      </c>
      <c r="M7" s="189" t="s">
        <v>838</v>
      </c>
      <c r="N7" s="161">
        <v>15688</v>
      </c>
    </row>
    <row r="8" spans="2:14" x14ac:dyDescent="0.35">
      <c r="B8" s="153">
        <v>43104</v>
      </c>
      <c r="C8" t="s">
        <v>812</v>
      </c>
      <c r="D8" t="s">
        <v>333</v>
      </c>
      <c r="E8" s="12">
        <v>4</v>
      </c>
      <c r="F8" s="154">
        <v>19</v>
      </c>
      <c r="H8" s="189" t="s">
        <v>16</v>
      </c>
      <c r="I8" s="161">
        <v>1481</v>
      </c>
      <c r="J8" s="161">
        <v>1861</v>
      </c>
      <c r="K8" s="161">
        <v>3342</v>
      </c>
      <c r="M8" s="188" t="s">
        <v>839</v>
      </c>
      <c r="N8" s="161">
        <v>3886</v>
      </c>
    </row>
    <row r="9" spans="2:14" x14ac:dyDescent="0.35">
      <c r="B9" s="153">
        <v>43105</v>
      </c>
      <c r="C9" t="s">
        <v>813</v>
      </c>
      <c r="D9" t="s">
        <v>10</v>
      </c>
      <c r="E9" s="12">
        <v>1</v>
      </c>
      <c r="F9" s="154">
        <v>62</v>
      </c>
      <c r="H9" s="189" t="s">
        <v>12</v>
      </c>
      <c r="I9" s="161">
        <v>1597</v>
      </c>
      <c r="J9" s="161">
        <v>1461</v>
      </c>
      <c r="K9" s="161">
        <v>3058</v>
      </c>
      <c r="M9" s="188" t="s">
        <v>840</v>
      </c>
      <c r="N9" s="161">
        <v>3786</v>
      </c>
    </row>
    <row r="10" spans="2:14" x14ac:dyDescent="0.35">
      <c r="B10" s="153">
        <v>43106</v>
      </c>
      <c r="C10" t="s">
        <v>812</v>
      </c>
      <c r="D10" t="s">
        <v>333</v>
      </c>
      <c r="E10" s="12">
        <v>3</v>
      </c>
      <c r="F10" s="154">
        <v>56</v>
      </c>
      <c r="H10" s="189" t="s">
        <v>17</v>
      </c>
      <c r="I10" s="161">
        <v>1468</v>
      </c>
      <c r="J10" s="161">
        <v>1521</v>
      </c>
      <c r="K10" s="161">
        <v>2989</v>
      </c>
      <c r="M10" s="188" t="s">
        <v>841</v>
      </c>
      <c r="N10" s="161">
        <v>4089</v>
      </c>
    </row>
    <row r="11" spans="2:14" x14ac:dyDescent="0.35">
      <c r="B11" s="153">
        <v>43107</v>
      </c>
      <c r="C11" t="s">
        <v>813</v>
      </c>
      <c r="D11" t="s">
        <v>17</v>
      </c>
      <c r="E11" s="12">
        <v>3</v>
      </c>
      <c r="F11" s="154">
        <v>18</v>
      </c>
      <c r="H11" s="189" t="s">
        <v>333</v>
      </c>
      <c r="I11" s="161">
        <v>1709</v>
      </c>
      <c r="J11" s="161">
        <v>1668</v>
      </c>
      <c r="K11" s="161">
        <v>3377</v>
      </c>
      <c r="M11" s="188" t="s">
        <v>842</v>
      </c>
      <c r="N11" s="161">
        <v>3927</v>
      </c>
    </row>
    <row r="12" spans="2:14" x14ac:dyDescent="0.35">
      <c r="B12" s="153">
        <v>43108</v>
      </c>
      <c r="C12" t="s">
        <v>812</v>
      </c>
      <c r="D12" t="s">
        <v>10</v>
      </c>
      <c r="E12" s="12">
        <v>2</v>
      </c>
      <c r="F12" s="154">
        <v>57</v>
      </c>
      <c r="H12" s="189" t="s">
        <v>14</v>
      </c>
      <c r="I12" s="161">
        <v>1537</v>
      </c>
      <c r="J12" s="161">
        <v>1393</v>
      </c>
      <c r="K12" s="161">
        <v>2930</v>
      </c>
      <c r="M12" s="189" t="s">
        <v>843</v>
      </c>
      <c r="N12" s="161">
        <v>15812</v>
      </c>
    </row>
    <row r="13" spans="2:14" x14ac:dyDescent="0.35">
      <c r="B13" s="153">
        <v>43109</v>
      </c>
      <c r="C13" t="s">
        <v>812</v>
      </c>
      <c r="D13" t="s">
        <v>16</v>
      </c>
      <c r="E13" s="12">
        <v>5</v>
      </c>
      <c r="F13" s="154">
        <v>61</v>
      </c>
      <c r="H13" s="189" t="s">
        <v>11</v>
      </c>
      <c r="I13" s="161">
        <v>1337</v>
      </c>
      <c r="J13" s="161">
        <v>1960</v>
      </c>
      <c r="K13" s="161">
        <v>3297</v>
      </c>
      <c r="M13" s="188" t="s">
        <v>839</v>
      </c>
      <c r="N13" s="161">
        <v>3696</v>
      </c>
    </row>
    <row r="14" spans="2:14" x14ac:dyDescent="0.35">
      <c r="B14" s="153">
        <v>43110</v>
      </c>
      <c r="C14" t="s">
        <v>812</v>
      </c>
      <c r="D14" t="s">
        <v>10</v>
      </c>
      <c r="E14" s="12">
        <v>2</v>
      </c>
      <c r="F14" s="154">
        <v>44</v>
      </c>
      <c r="H14" s="189" t="s">
        <v>15</v>
      </c>
      <c r="I14" s="161">
        <v>1596</v>
      </c>
      <c r="J14" s="161">
        <v>1525</v>
      </c>
      <c r="K14" s="161">
        <v>3121</v>
      </c>
      <c r="M14" s="188" t="s">
        <v>840</v>
      </c>
      <c r="N14" s="161">
        <v>3959</v>
      </c>
    </row>
    <row r="15" spans="2:14" x14ac:dyDescent="0.35">
      <c r="B15" s="153">
        <v>43111</v>
      </c>
      <c r="C15" t="s">
        <v>812</v>
      </c>
      <c r="D15" t="s">
        <v>333</v>
      </c>
      <c r="E15" s="12">
        <v>4</v>
      </c>
      <c r="F15" s="154">
        <v>36</v>
      </c>
      <c r="H15" s="189" t="s">
        <v>10</v>
      </c>
      <c r="I15" s="161">
        <v>1337</v>
      </c>
      <c r="J15" s="161">
        <v>1415</v>
      </c>
      <c r="K15" s="161">
        <v>2752</v>
      </c>
      <c r="M15" s="188" t="s">
        <v>841</v>
      </c>
      <c r="N15" s="161">
        <v>4276</v>
      </c>
    </row>
    <row r="16" spans="2:14" x14ac:dyDescent="0.35">
      <c r="B16" s="153">
        <v>43112</v>
      </c>
      <c r="C16" t="s">
        <v>813</v>
      </c>
      <c r="D16" t="s">
        <v>11</v>
      </c>
      <c r="E16" s="12">
        <v>1</v>
      </c>
      <c r="F16" s="154">
        <v>45</v>
      </c>
      <c r="H16" s="156" t="s">
        <v>814</v>
      </c>
      <c r="I16" s="191">
        <v>14951</v>
      </c>
      <c r="J16" s="191">
        <v>16323</v>
      </c>
      <c r="K16" s="191">
        <v>31274</v>
      </c>
      <c r="M16" s="188" t="s">
        <v>842</v>
      </c>
      <c r="N16" s="161">
        <v>3881</v>
      </c>
    </row>
    <row r="17" spans="2:14" x14ac:dyDescent="0.35">
      <c r="B17" s="153">
        <v>43113</v>
      </c>
      <c r="C17" t="s">
        <v>813</v>
      </c>
      <c r="D17" t="s">
        <v>11</v>
      </c>
      <c r="E17" s="12">
        <v>2</v>
      </c>
      <c r="F17" s="154">
        <v>31</v>
      </c>
      <c r="M17" s="189" t="s">
        <v>844</v>
      </c>
      <c r="N17" s="161">
        <v>15462</v>
      </c>
    </row>
    <row r="18" spans="2:14" x14ac:dyDescent="0.35">
      <c r="B18" s="153">
        <v>43114</v>
      </c>
      <c r="C18" t="s">
        <v>812</v>
      </c>
      <c r="D18" t="s">
        <v>14</v>
      </c>
      <c r="E18" s="12">
        <v>5</v>
      </c>
      <c r="F18" s="154">
        <v>58</v>
      </c>
      <c r="M18" s="188" t="s">
        <v>839</v>
      </c>
      <c r="N18" s="161">
        <v>3791</v>
      </c>
    </row>
    <row r="19" spans="2:14" x14ac:dyDescent="0.35">
      <c r="B19" s="153">
        <v>43115</v>
      </c>
      <c r="C19" t="s">
        <v>813</v>
      </c>
      <c r="D19" t="s">
        <v>16</v>
      </c>
      <c r="E19" s="12">
        <v>3</v>
      </c>
      <c r="F19" s="154">
        <v>47</v>
      </c>
      <c r="M19" s="188" t="s">
        <v>840</v>
      </c>
      <c r="N19" s="161">
        <v>3730</v>
      </c>
    </row>
    <row r="20" spans="2:14" x14ac:dyDescent="0.35">
      <c r="B20" s="153">
        <v>43116</v>
      </c>
      <c r="C20" t="s">
        <v>813</v>
      </c>
      <c r="D20" t="s">
        <v>11</v>
      </c>
      <c r="E20" s="12">
        <v>4</v>
      </c>
      <c r="F20" s="154">
        <v>69</v>
      </c>
      <c r="M20" s="188" t="s">
        <v>841</v>
      </c>
      <c r="N20" s="161">
        <v>3966</v>
      </c>
    </row>
    <row r="21" spans="2:14" x14ac:dyDescent="0.35">
      <c r="B21" s="153">
        <v>43117</v>
      </c>
      <c r="C21" t="s">
        <v>812</v>
      </c>
      <c r="D21" t="s">
        <v>13</v>
      </c>
      <c r="E21" s="12">
        <v>3</v>
      </c>
      <c r="F21" s="154">
        <v>21</v>
      </c>
      <c r="M21" s="188" t="s">
        <v>842</v>
      </c>
      <c r="N21" s="161">
        <v>3975</v>
      </c>
    </row>
    <row r="22" spans="2:14" x14ac:dyDescent="0.35">
      <c r="B22" s="153">
        <v>43118</v>
      </c>
      <c r="C22" t="s">
        <v>812</v>
      </c>
      <c r="D22" t="s">
        <v>15</v>
      </c>
      <c r="E22" s="12">
        <v>4</v>
      </c>
      <c r="F22" s="154">
        <v>54</v>
      </c>
      <c r="M22" s="189" t="s">
        <v>845</v>
      </c>
      <c r="N22" s="161">
        <v>4917</v>
      </c>
    </row>
    <row r="23" spans="2:14" x14ac:dyDescent="0.35">
      <c r="B23" s="153">
        <v>43119</v>
      </c>
      <c r="C23" t="s">
        <v>813</v>
      </c>
      <c r="D23" t="s">
        <v>11</v>
      </c>
      <c r="E23" s="12">
        <v>4</v>
      </c>
      <c r="F23" s="154">
        <v>63</v>
      </c>
      <c r="M23" s="188" t="s">
        <v>839</v>
      </c>
      <c r="N23" s="161">
        <v>3768</v>
      </c>
    </row>
    <row r="24" spans="2:14" x14ac:dyDescent="0.35">
      <c r="B24" s="153">
        <v>43120</v>
      </c>
      <c r="C24" t="s">
        <v>812</v>
      </c>
      <c r="D24" t="s">
        <v>10</v>
      </c>
      <c r="E24" s="12">
        <v>1</v>
      </c>
      <c r="F24" s="154">
        <v>43</v>
      </c>
      <c r="M24" s="188" t="s">
        <v>840</v>
      </c>
      <c r="N24" s="161">
        <v>1149</v>
      </c>
    </row>
    <row r="25" spans="2:14" x14ac:dyDescent="0.35">
      <c r="B25" s="153">
        <v>43121</v>
      </c>
      <c r="C25" t="s">
        <v>812</v>
      </c>
      <c r="D25" t="s">
        <v>15</v>
      </c>
      <c r="E25" s="12">
        <v>1</v>
      </c>
      <c r="F25" s="154">
        <v>52</v>
      </c>
      <c r="M25" s="189" t="s">
        <v>814</v>
      </c>
      <c r="N25" s="161">
        <v>51879</v>
      </c>
    </row>
    <row r="26" spans="2:14" x14ac:dyDescent="0.35">
      <c r="B26" s="153">
        <v>43122</v>
      </c>
      <c r="C26" t="s">
        <v>813</v>
      </c>
      <c r="D26" t="s">
        <v>333</v>
      </c>
      <c r="E26" s="12">
        <v>1</v>
      </c>
      <c r="F26" s="154">
        <v>55</v>
      </c>
    </row>
    <row r="27" spans="2:14" x14ac:dyDescent="0.35">
      <c r="B27" s="153">
        <v>43123</v>
      </c>
      <c r="C27" t="s">
        <v>812</v>
      </c>
      <c r="D27" t="s">
        <v>9</v>
      </c>
      <c r="E27" s="12">
        <v>4</v>
      </c>
      <c r="F27" s="154">
        <v>29</v>
      </c>
    </row>
    <row r="28" spans="2:14" x14ac:dyDescent="0.35">
      <c r="B28" s="153">
        <v>43124</v>
      </c>
      <c r="C28" t="s">
        <v>812</v>
      </c>
      <c r="D28" t="s">
        <v>17</v>
      </c>
      <c r="E28" s="12">
        <v>1</v>
      </c>
      <c r="F28" s="154">
        <v>23</v>
      </c>
    </row>
    <row r="29" spans="2:14" x14ac:dyDescent="0.35">
      <c r="B29" s="153">
        <v>43125</v>
      </c>
      <c r="C29" t="s">
        <v>812</v>
      </c>
      <c r="D29" t="s">
        <v>17</v>
      </c>
      <c r="E29" s="12">
        <v>4</v>
      </c>
      <c r="F29" s="154">
        <v>68</v>
      </c>
    </row>
    <row r="30" spans="2:14" x14ac:dyDescent="0.35">
      <c r="B30" s="153">
        <v>43126</v>
      </c>
      <c r="C30" t="s">
        <v>813</v>
      </c>
      <c r="D30" t="s">
        <v>13</v>
      </c>
      <c r="E30" s="12">
        <v>1</v>
      </c>
      <c r="F30" s="154">
        <v>56</v>
      </c>
    </row>
    <row r="31" spans="2:14" x14ac:dyDescent="0.35">
      <c r="B31" s="153">
        <v>43127</v>
      </c>
      <c r="C31" t="s">
        <v>813</v>
      </c>
      <c r="D31" t="s">
        <v>13</v>
      </c>
      <c r="E31" s="12">
        <v>2</v>
      </c>
      <c r="F31" s="154">
        <v>38</v>
      </c>
    </row>
    <row r="32" spans="2:14" x14ac:dyDescent="0.35">
      <c r="B32" s="153">
        <v>43128</v>
      </c>
      <c r="C32" t="s">
        <v>812</v>
      </c>
      <c r="D32" t="s">
        <v>17</v>
      </c>
      <c r="E32" s="12">
        <v>2</v>
      </c>
      <c r="F32" s="154">
        <v>31</v>
      </c>
    </row>
    <row r="33" spans="2:6" x14ac:dyDescent="0.35">
      <c r="B33" s="153">
        <v>43129</v>
      </c>
      <c r="C33" t="s">
        <v>812</v>
      </c>
      <c r="D33" t="s">
        <v>12</v>
      </c>
      <c r="E33" s="12">
        <v>1</v>
      </c>
      <c r="F33" s="154">
        <v>38</v>
      </c>
    </row>
    <row r="34" spans="2:6" x14ac:dyDescent="0.35">
      <c r="B34" s="153">
        <v>43130</v>
      </c>
      <c r="C34" t="s">
        <v>812</v>
      </c>
      <c r="D34" t="s">
        <v>14</v>
      </c>
      <c r="E34" s="12">
        <v>5</v>
      </c>
      <c r="F34" s="154">
        <v>68</v>
      </c>
    </row>
    <row r="35" spans="2:6" x14ac:dyDescent="0.35">
      <c r="B35" s="153">
        <v>43131</v>
      </c>
      <c r="C35" t="s">
        <v>813</v>
      </c>
      <c r="D35" t="s">
        <v>15</v>
      </c>
      <c r="E35" s="12">
        <v>5</v>
      </c>
      <c r="F35" s="154">
        <v>60</v>
      </c>
    </row>
    <row r="36" spans="2:6" x14ac:dyDescent="0.35">
      <c r="B36" s="153">
        <v>43132</v>
      </c>
      <c r="C36" t="s">
        <v>812</v>
      </c>
      <c r="D36" t="s">
        <v>15</v>
      </c>
      <c r="E36" s="12">
        <v>3</v>
      </c>
      <c r="F36" s="154">
        <v>49</v>
      </c>
    </row>
    <row r="37" spans="2:6" x14ac:dyDescent="0.35">
      <c r="B37" s="153">
        <v>43133</v>
      </c>
      <c r="C37" t="s">
        <v>813</v>
      </c>
      <c r="D37" t="s">
        <v>15</v>
      </c>
      <c r="E37" s="12">
        <v>3</v>
      </c>
      <c r="F37" s="154">
        <v>48</v>
      </c>
    </row>
    <row r="38" spans="2:6" x14ac:dyDescent="0.35">
      <c r="B38" s="153">
        <v>43134</v>
      </c>
      <c r="C38" t="s">
        <v>812</v>
      </c>
      <c r="D38" t="s">
        <v>10</v>
      </c>
      <c r="E38" s="12">
        <v>5</v>
      </c>
      <c r="F38" s="154">
        <v>57</v>
      </c>
    </row>
    <row r="39" spans="2:6" x14ac:dyDescent="0.35">
      <c r="B39" s="153">
        <v>43135</v>
      </c>
      <c r="C39" t="s">
        <v>813</v>
      </c>
      <c r="D39" t="s">
        <v>14</v>
      </c>
      <c r="E39" s="12">
        <v>4</v>
      </c>
      <c r="F39" s="154">
        <v>22</v>
      </c>
    </row>
    <row r="40" spans="2:6" x14ac:dyDescent="0.35">
      <c r="B40" s="153">
        <v>43136</v>
      </c>
      <c r="C40" t="s">
        <v>812</v>
      </c>
      <c r="D40" t="s">
        <v>15</v>
      </c>
      <c r="E40" s="12">
        <v>4</v>
      </c>
      <c r="F40" s="154">
        <v>26</v>
      </c>
    </row>
    <row r="41" spans="2:6" x14ac:dyDescent="0.35">
      <c r="B41" s="153">
        <v>43137</v>
      </c>
      <c r="C41" t="s">
        <v>812</v>
      </c>
      <c r="D41" t="s">
        <v>16</v>
      </c>
      <c r="E41" s="12">
        <v>1</v>
      </c>
      <c r="F41" s="154">
        <v>29</v>
      </c>
    </row>
    <row r="42" spans="2:6" x14ac:dyDescent="0.35">
      <c r="B42" s="153">
        <v>43138</v>
      </c>
      <c r="C42" t="s">
        <v>812</v>
      </c>
      <c r="D42" t="s">
        <v>12</v>
      </c>
      <c r="E42" s="12">
        <v>1</v>
      </c>
      <c r="F42" s="154">
        <v>31</v>
      </c>
    </row>
    <row r="43" spans="2:6" x14ac:dyDescent="0.35">
      <c r="B43" s="153">
        <v>43139</v>
      </c>
      <c r="C43" t="s">
        <v>813</v>
      </c>
      <c r="D43" t="s">
        <v>11</v>
      </c>
      <c r="E43" s="12">
        <v>2</v>
      </c>
      <c r="F43" s="154">
        <v>45</v>
      </c>
    </row>
    <row r="44" spans="2:6" x14ac:dyDescent="0.35">
      <c r="B44" s="153">
        <v>43140</v>
      </c>
      <c r="C44" t="s">
        <v>813</v>
      </c>
      <c r="D44" t="s">
        <v>13</v>
      </c>
      <c r="E44" s="12">
        <v>5</v>
      </c>
      <c r="F44" s="154">
        <v>39</v>
      </c>
    </row>
    <row r="45" spans="2:6" x14ac:dyDescent="0.35">
      <c r="B45" s="153">
        <v>43141</v>
      </c>
      <c r="C45" t="s">
        <v>812</v>
      </c>
      <c r="D45" t="s">
        <v>15</v>
      </c>
      <c r="E45" s="12">
        <v>5</v>
      </c>
      <c r="F45" s="154">
        <v>54</v>
      </c>
    </row>
    <row r="46" spans="2:6" x14ac:dyDescent="0.35">
      <c r="B46" s="153">
        <v>43142</v>
      </c>
      <c r="C46" t="s">
        <v>812</v>
      </c>
      <c r="D46" t="s">
        <v>10</v>
      </c>
      <c r="E46" s="12">
        <v>5</v>
      </c>
      <c r="F46" s="154">
        <v>65</v>
      </c>
    </row>
    <row r="47" spans="2:6" x14ac:dyDescent="0.35">
      <c r="B47" s="153">
        <v>43143</v>
      </c>
      <c r="C47" t="s">
        <v>812</v>
      </c>
      <c r="D47" t="s">
        <v>14</v>
      </c>
      <c r="E47" s="12">
        <v>5</v>
      </c>
      <c r="F47" s="154">
        <v>70</v>
      </c>
    </row>
    <row r="48" spans="2:6" x14ac:dyDescent="0.35">
      <c r="B48" s="153">
        <v>43144</v>
      </c>
      <c r="C48" t="s">
        <v>812</v>
      </c>
      <c r="D48" t="s">
        <v>17</v>
      </c>
      <c r="E48" s="12">
        <v>5</v>
      </c>
      <c r="F48" s="154">
        <v>28</v>
      </c>
    </row>
    <row r="49" spans="2:6" x14ac:dyDescent="0.35">
      <c r="B49" s="153">
        <v>43145</v>
      </c>
      <c r="C49" t="s">
        <v>812</v>
      </c>
      <c r="D49" t="s">
        <v>17</v>
      </c>
      <c r="E49" s="12">
        <v>3</v>
      </c>
      <c r="F49" s="154">
        <v>51</v>
      </c>
    </row>
    <row r="50" spans="2:6" x14ac:dyDescent="0.35">
      <c r="B50" s="153">
        <v>43146</v>
      </c>
      <c r="C50" t="s">
        <v>812</v>
      </c>
      <c r="D50" t="s">
        <v>13</v>
      </c>
      <c r="E50" s="12">
        <v>3</v>
      </c>
      <c r="F50" s="154">
        <v>54</v>
      </c>
    </row>
    <row r="51" spans="2:6" x14ac:dyDescent="0.35">
      <c r="B51" s="153">
        <v>43147</v>
      </c>
      <c r="C51" t="s">
        <v>813</v>
      </c>
      <c r="D51" t="s">
        <v>11</v>
      </c>
      <c r="E51" s="12">
        <v>4</v>
      </c>
      <c r="F51" s="154">
        <v>68</v>
      </c>
    </row>
    <row r="52" spans="2:6" x14ac:dyDescent="0.35">
      <c r="B52" s="153">
        <v>43148</v>
      </c>
      <c r="C52" t="s">
        <v>812</v>
      </c>
      <c r="D52" t="s">
        <v>10</v>
      </c>
      <c r="E52" s="12">
        <v>5</v>
      </c>
      <c r="F52" s="154">
        <v>18</v>
      </c>
    </row>
    <row r="53" spans="2:6" x14ac:dyDescent="0.35">
      <c r="B53" s="153">
        <v>43149</v>
      </c>
      <c r="C53" t="s">
        <v>812</v>
      </c>
      <c r="D53" t="s">
        <v>333</v>
      </c>
      <c r="E53" s="12">
        <v>4</v>
      </c>
      <c r="F53" s="154">
        <v>35</v>
      </c>
    </row>
    <row r="54" spans="2:6" x14ac:dyDescent="0.35">
      <c r="B54" s="153">
        <v>43150</v>
      </c>
      <c r="C54" t="s">
        <v>812</v>
      </c>
      <c r="D54" t="s">
        <v>9</v>
      </c>
      <c r="E54" s="12">
        <v>5</v>
      </c>
      <c r="F54" s="154">
        <v>30</v>
      </c>
    </row>
    <row r="55" spans="2:6" x14ac:dyDescent="0.35">
      <c r="B55" s="153">
        <v>43151</v>
      </c>
      <c r="C55" t="s">
        <v>813</v>
      </c>
      <c r="D55" t="s">
        <v>11</v>
      </c>
      <c r="E55" s="12">
        <v>4</v>
      </c>
      <c r="F55" s="154">
        <v>15</v>
      </c>
    </row>
    <row r="56" spans="2:6" x14ac:dyDescent="0.35">
      <c r="B56" s="153">
        <v>43152</v>
      </c>
      <c r="C56" t="s">
        <v>813</v>
      </c>
      <c r="D56" t="s">
        <v>11</v>
      </c>
      <c r="E56" s="12">
        <v>4</v>
      </c>
      <c r="F56" s="154">
        <v>52</v>
      </c>
    </row>
    <row r="57" spans="2:6" x14ac:dyDescent="0.35">
      <c r="B57" s="153">
        <v>43153</v>
      </c>
      <c r="C57" t="s">
        <v>812</v>
      </c>
      <c r="D57" t="s">
        <v>12</v>
      </c>
      <c r="E57" s="12">
        <v>4</v>
      </c>
      <c r="F57" s="154">
        <v>31</v>
      </c>
    </row>
    <row r="58" spans="2:6" x14ac:dyDescent="0.35">
      <c r="B58" s="153">
        <v>43154</v>
      </c>
      <c r="C58" t="s">
        <v>812</v>
      </c>
      <c r="D58" t="s">
        <v>16</v>
      </c>
      <c r="E58" s="12">
        <v>2</v>
      </c>
      <c r="F58" s="154">
        <v>41</v>
      </c>
    </row>
    <row r="59" spans="2:6" x14ac:dyDescent="0.35">
      <c r="B59" s="153">
        <v>43155</v>
      </c>
      <c r="C59" t="s">
        <v>813</v>
      </c>
      <c r="D59" t="s">
        <v>13</v>
      </c>
      <c r="E59" s="12">
        <v>4</v>
      </c>
      <c r="F59" s="154">
        <v>33</v>
      </c>
    </row>
    <row r="60" spans="2:6" x14ac:dyDescent="0.35">
      <c r="B60" s="153">
        <v>43156</v>
      </c>
      <c r="C60" t="s">
        <v>813</v>
      </c>
      <c r="D60" t="s">
        <v>17</v>
      </c>
      <c r="E60" s="12">
        <v>5</v>
      </c>
      <c r="F60" s="154">
        <v>50</v>
      </c>
    </row>
    <row r="61" spans="2:6" x14ac:dyDescent="0.35">
      <c r="B61" s="153">
        <v>43157</v>
      </c>
      <c r="C61" t="s">
        <v>813</v>
      </c>
      <c r="D61" t="s">
        <v>12</v>
      </c>
      <c r="E61" s="12">
        <v>2</v>
      </c>
      <c r="F61" s="154">
        <v>40</v>
      </c>
    </row>
    <row r="62" spans="2:6" x14ac:dyDescent="0.35">
      <c r="B62" s="153">
        <v>43158</v>
      </c>
      <c r="C62" t="s">
        <v>812</v>
      </c>
      <c r="D62" t="s">
        <v>10</v>
      </c>
      <c r="E62" s="12">
        <v>1</v>
      </c>
      <c r="F62" s="154">
        <v>20</v>
      </c>
    </row>
    <row r="63" spans="2:6" x14ac:dyDescent="0.35">
      <c r="B63" s="153">
        <v>43159</v>
      </c>
      <c r="C63" t="s">
        <v>813</v>
      </c>
      <c r="D63" t="s">
        <v>10</v>
      </c>
      <c r="E63" s="12">
        <v>5</v>
      </c>
      <c r="F63" s="154">
        <v>44</v>
      </c>
    </row>
    <row r="64" spans="2:6" x14ac:dyDescent="0.35">
      <c r="B64" s="153">
        <v>43160</v>
      </c>
      <c r="C64" t="s">
        <v>812</v>
      </c>
      <c r="D64" t="s">
        <v>14</v>
      </c>
      <c r="E64" s="12">
        <v>2</v>
      </c>
      <c r="F64" s="154">
        <v>25</v>
      </c>
    </row>
    <row r="65" spans="2:6" x14ac:dyDescent="0.35">
      <c r="B65" s="153">
        <v>43161</v>
      </c>
      <c r="C65" t="s">
        <v>812</v>
      </c>
      <c r="D65" t="s">
        <v>10</v>
      </c>
      <c r="E65" s="12">
        <v>2</v>
      </c>
      <c r="F65" s="154">
        <v>41</v>
      </c>
    </row>
    <row r="66" spans="2:6" x14ac:dyDescent="0.35">
      <c r="B66" s="153">
        <v>43162</v>
      </c>
      <c r="C66" t="s">
        <v>812</v>
      </c>
      <c r="D66" t="s">
        <v>14</v>
      </c>
      <c r="E66" s="12">
        <v>2</v>
      </c>
      <c r="F66" s="154">
        <v>21</v>
      </c>
    </row>
    <row r="67" spans="2:6" x14ac:dyDescent="0.35">
      <c r="B67" s="153">
        <v>43163</v>
      </c>
      <c r="C67" t="s">
        <v>813</v>
      </c>
      <c r="D67" t="s">
        <v>14</v>
      </c>
      <c r="E67" s="12">
        <v>2</v>
      </c>
      <c r="F67" s="154">
        <v>28</v>
      </c>
    </row>
    <row r="68" spans="2:6" x14ac:dyDescent="0.35">
      <c r="B68" s="153">
        <v>43164</v>
      </c>
      <c r="C68" t="s">
        <v>812</v>
      </c>
      <c r="D68" t="s">
        <v>16</v>
      </c>
      <c r="E68" s="12">
        <v>1</v>
      </c>
      <c r="F68" s="154">
        <v>41</v>
      </c>
    </row>
    <row r="69" spans="2:6" x14ac:dyDescent="0.35">
      <c r="B69" s="153">
        <v>43165</v>
      </c>
      <c r="C69" t="s">
        <v>812</v>
      </c>
      <c r="D69" t="s">
        <v>11</v>
      </c>
      <c r="E69" s="12">
        <v>3</v>
      </c>
      <c r="F69" s="154">
        <v>67</v>
      </c>
    </row>
    <row r="70" spans="2:6" x14ac:dyDescent="0.35">
      <c r="B70" s="153">
        <v>43166</v>
      </c>
      <c r="C70" t="s">
        <v>812</v>
      </c>
      <c r="D70" t="s">
        <v>15</v>
      </c>
      <c r="E70" s="12">
        <v>5</v>
      </c>
      <c r="F70" s="154">
        <v>41</v>
      </c>
    </row>
    <row r="71" spans="2:6" x14ac:dyDescent="0.35">
      <c r="B71" s="153">
        <v>43167</v>
      </c>
      <c r="C71" t="s">
        <v>813</v>
      </c>
      <c r="D71" t="s">
        <v>17</v>
      </c>
      <c r="E71" s="12">
        <v>2</v>
      </c>
      <c r="F71" s="154">
        <v>58</v>
      </c>
    </row>
    <row r="72" spans="2:6" x14ac:dyDescent="0.35">
      <c r="B72" s="153">
        <v>43168</v>
      </c>
      <c r="C72" t="s">
        <v>813</v>
      </c>
      <c r="D72" t="s">
        <v>15</v>
      </c>
      <c r="E72" s="12">
        <v>1</v>
      </c>
      <c r="F72" s="154">
        <v>48</v>
      </c>
    </row>
    <row r="73" spans="2:6" x14ac:dyDescent="0.35">
      <c r="B73" s="153">
        <v>43169</v>
      </c>
      <c r="C73" t="s">
        <v>813</v>
      </c>
      <c r="D73" t="s">
        <v>14</v>
      </c>
      <c r="E73" s="12">
        <v>2</v>
      </c>
      <c r="F73" s="154">
        <v>44</v>
      </c>
    </row>
    <row r="74" spans="2:6" x14ac:dyDescent="0.35">
      <c r="B74" s="153">
        <v>43170</v>
      </c>
      <c r="C74" t="s">
        <v>813</v>
      </c>
      <c r="D74" t="s">
        <v>333</v>
      </c>
      <c r="E74" s="12">
        <v>3</v>
      </c>
      <c r="F74" s="154">
        <v>41</v>
      </c>
    </row>
    <row r="75" spans="2:6" x14ac:dyDescent="0.35">
      <c r="B75" s="153">
        <v>43171</v>
      </c>
      <c r="C75" t="s">
        <v>813</v>
      </c>
      <c r="D75" t="s">
        <v>17</v>
      </c>
      <c r="E75" s="12">
        <v>1</v>
      </c>
      <c r="F75" s="154">
        <v>27</v>
      </c>
    </row>
    <row r="76" spans="2:6" x14ac:dyDescent="0.35">
      <c r="B76" s="153">
        <v>43172</v>
      </c>
      <c r="C76" t="s">
        <v>812</v>
      </c>
      <c r="D76" t="s">
        <v>9</v>
      </c>
      <c r="E76" s="12">
        <v>3</v>
      </c>
      <c r="F76" s="154">
        <v>26</v>
      </c>
    </row>
    <row r="77" spans="2:6" x14ac:dyDescent="0.35">
      <c r="B77" s="153">
        <v>43173</v>
      </c>
      <c r="C77" t="s">
        <v>812</v>
      </c>
      <c r="D77" t="s">
        <v>13</v>
      </c>
      <c r="E77" s="12">
        <v>4</v>
      </c>
      <c r="F77" s="154">
        <v>33</v>
      </c>
    </row>
    <row r="78" spans="2:6" x14ac:dyDescent="0.35">
      <c r="B78" s="153">
        <v>43174</v>
      </c>
      <c r="C78" t="s">
        <v>813</v>
      </c>
      <c r="D78" t="s">
        <v>12</v>
      </c>
      <c r="E78" s="12">
        <v>1</v>
      </c>
      <c r="F78" s="154">
        <v>18</v>
      </c>
    </row>
    <row r="79" spans="2:6" x14ac:dyDescent="0.35">
      <c r="B79" s="153">
        <v>43175</v>
      </c>
      <c r="C79" t="s">
        <v>812</v>
      </c>
      <c r="D79" t="s">
        <v>10</v>
      </c>
      <c r="E79" s="12">
        <v>3</v>
      </c>
      <c r="F79" s="154">
        <v>46</v>
      </c>
    </row>
    <row r="80" spans="2:6" x14ac:dyDescent="0.35">
      <c r="B80" s="153">
        <v>43176</v>
      </c>
      <c r="C80" t="s">
        <v>813</v>
      </c>
      <c r="D80" t="s">
        <v>13</v>
      </c>
      <c r="E80" s="12">
        <v>4</v>
      </c>
      <c r="F80" s="154">
        <v>46</v>
      </c>
    </row>
    <row r="81" spans="2:6" x14ac:dyDescent="0.35">
      <c r="B81" s="153">
        <v>43177</v>
      </c>
      <c r="C81" t="s">
        <v>812</v>
      </c>
      <c r="D81" t="s">
        <v>13</v>
      </c>
      <c r="E81" s="12">
        <v>4</v>
      </c>
      <c r="F81" s="154">
        <v>34</v>
      </c>
    </row>
    <row r="82" spans="2:6" x14ac:dyDescent="0.35">
      <c r="B82" s="153">
        <v>43178</v>
      </c>
      <c r="C82" t="s">
        <v>812</v>
      </c>
      <c r="D82" t="s">
        <v>9</v>
      </c>
      <c r="E82" s="12">
        <v>1</v>
      </c>
      <c r="F82" s="154">
        <v>17</v>
      </c>
    </row>
    <row r="83" spans="2:6" x14ac:dyDescent="0.35">
      <c r="B83" s="153">
        <v>43179</v>
      </c>
      <c r="C83" t="s">
        <v>812</v>
      </c>
      <c r="D83" t="s">
        <v>12</v>
      </c>
      <c r="E83" s="12">
        <v>4</v>
      </c>
      <c r="F83" s="154">
        <v>60</v>
      </c>
    </row>
    <row r="84" spans="2:6" x14ac:dyDescent="0.35">
      <c r="B84" s="153">
        <v>43180</v>
      </c>
      <c r="C84" t="s">
        <v>812</v>
      </c>
      <c r="D84" t="s">
        <v>17</v>
      </c>
      <c r="E84" s="12">
        <v>1</v>
      </c>
      <c r="F84" s="154">
        <v>66</v>
      </c>
    </row>
    <row r="85" spans="2:6" x14ac:dyDescent="0.35">
      <c r="B85" s="153">
        <v>43181</v>
      </c>
      <c r="C85" t="s">
        <v>812</v>
      </c>
      <c r="D85" t="s">
        <v>14</v>
      </c>
      <c r="E85" s="12">
        <v>2</v>
      </c>
      <c r="F85" s="154">
        <v>41</v>
      </c>
    </row>
    <row r="86" spans="2:6" x14ac:dyDescent="0.35">
      <c r="B86" s="153">
        <v>43182</v>
      </c>
      <c r="C86" t="s">
        <v>813</v>
      </c>
      <c r="D86" t="s">
        <v>12</v>
      </c>
      <c r="E86" s="12">
        <v>1</v>
      </c>
      <c r="F86" s="154">
        <v>43</v>
      </c>
    </row>
    <row r="87" spans="2:6" x14ac:dyDescent="0.35">
      <c r="B87" s="153">
        <v>43183</v>
      </c>
      <c r="C87" t="s">
        <v>812</v>
      </c>
      <c r="D87" t="s">
        <v>17</v>
      </c>
      <c r="E87" s="12">
        <v>4</v>
      </c>
      <c r="F87" s="154">
        <v>67</v>
      </c>
    </row>
    <row r="88" spans="2:6" x14ac:dyDescent="0.35">
      <c r="B88" s="153">
        <v>43184</v>
      </c>
      <c r="C88" t="s">
        <v>813</v>
      </c>
      <c r="D88" t="s">
        <v>10</v>
      </c>
      <c r="E88" s="12">
        <v>3</v>
      </c>
      <c r="F88" s="154">
        <v>34</v>
      </c>
    </row>
    <row r="89" spans="2:6" x14ac:dyDescent="0.35">
      <c r="B89" s="153">
        <v>43185</v>
      </c>
      <c r="C89" t="s">
        <v>812</v>
      </c>
      <c r="D89" t="s">
        <v>13</v>
      </c>
      <c r="E89" s="12">
        <v>4</v>
      </c>
      <c r="F89" s="154">
        <v>65</v>
      </c>
    </row>
    <row r="90" spans="2:6" x14ac:dyDescent="0.35">
      <c r="B90" s="153">
        <v>43186</v>
      </c>
      <c r="C90" t="s">
        <v>812</v>
      </c>
      <c r="D90" t="s">
        <v>11</v>
      </c>
      <c r="E90" s="12">
        <v>3</v>
      </c>
      <c r="F90" s="154">
        <v>65</v>
      </c>
    </row>
    <row r="91" spans="2:6" x14ac:dyDescent="0.35">
      <c r="B91" s="153">
        <v>43187</v>
      </c>
      <c r="C91" t="s">
        <v>813</v>
      </c>
      <c r="D91" t="s">
        <v>9</v>
      </c>
      <c r="E91" s="12">
        <v>2</v>
      </c>
      <c r="F91" s="154">
        <v>30</v>
      </c>
    </row>
    <row r="92" spans="2:6" x14ac:dyDescent="0.35">
      <c r="B92" s="153">
        <v>43188</v>
      </c>
      <c r="C92" t="s">
        <v>812</v>
      </c>
      <c r="D92" t="s">
        <v>17</v>
      </c>
      <c r="E92" s="12">
        <v>3</v>
      </c>
      <c r="F92" s="154">
        <v>36</v>
      </c>
    </row>
    <row r="93" spans="2:6" x14ac:dyDescent="0.35">
      <c r="B93" s="153">
        <v>43189</v>
      </c>
      <c r="C93" t="s">
        <v>812</v>
      </c>
      <c r="D93" t="s">
        <v>14</v>
      </c>
      <c r="E93" s="12">
        <v>1</v>
      </c>
      <c r="F93" s="154">
        <v>51</v>
      </c>
    </row>
    <row r="94" spans="2:6" x14ac:dyDescent="0.35">
      <c r="B94" s="153">
        <v>43190</v>
      </c>
      <c r="C94" t="s">
        <v>812</v>
      </c>
      <c r="D94" t="s">
        <v>14</v>
      </c>
      <c r="E94" s="12">
        <v>5</v>
      </c>
      <c r="F94" s="154">
        <v>59</v>
      </c>
    </row>
    <row r="95" spans="2:6" x14ac:dyDescent="0.35">
      <c r="B95" s="153">
        <v>43191</v>
      </c>
      <c r="C95" t="s">
        <v>812</v>
      </c>
      <c r="D95" t="s">
        <v>16</v>
      </c>
      <c r="E95" s="12">
        <v>3</v>
      </c>
      <c r="F95" s="154">
        <v>58</v>
      </c>
    </row>
    <row r="96" spans="2:6" x14ac:dyDescent="0.35">
      <c r="B96" s="153">
        <v>43192</v>
      </c>
      <c r="C96" t="s">
        <v>813</v>
      </c>
      <c r="D96" t="s">
        <v>333</v>
      </c>
      <c r="E96" s="12">
        <v>1</v>
      </c>
      <c r="F96" s="154">
        <v>45</v>
      </c>
    </row>
    <row r="97" spans="2:6" x14ac:dyDescent="0.35">
      <c r="B97" s="153">
        <v>43193</v>
      </c>
      <c r="C97" t="s">
        <v>813</v>
      </c>
      <c r="D97" t="s">
        <v>10</v>
      </c>
      <c r="E97" s="12">
        <v>2</v>
      </c>
      <c r="F97" s="154">
        <v>33</v>
      </c>
    </row>
    <row r="98" spans="2:6" x14ac:dyDescent="0.35">
      <c r="B98" s="153">
        <v>43194</v>
      </c>
      <c r="C98" t="s">
        <v>813</v>
      </c>
      <c r="D98" t="s">
        <v>333</v>
      </c>
      <c r="E98" s="12">
        <v>4</v>
      </c>
      <c r="F98" s="154">
        <v>46</v>
      </c>
    </row>
    <row r="99" spans="2:6" x14ac:dyDescent="0.35">
      <c r="B99" s="153">
        <v>43195</v>
      </c>
      <c r="C99" t="s">
        <v>813</v>
      </c>
      <c r="D99" t="s">
        <v>9</v>
      </c>
      <c r="E99" s="12">
        <v>4</v>
      </c>
      <c r="F99" s="154">
        <v>42</v>
      </c>
    </row>
    <row r="100" spans="2:6" x14ac:dyDescent="0.35">
      <c r="B100" s="153">
        <v>43196</v>
      </c>
      <c r="C100" t="s">
        <v>812</v>
      </c>
      <c r="D100" t="s">
        <v>15</v>
      </c>
      <c r="E100" s="12">
        <v>5</v>
      </c>
      <c r="F100" s="154">
        <v>30</v>
      </c>
    </row>
    <row r="101" spans="2:6" x14ac:dyDescent="0.35">
      <c r="B101" s="153">
        <v>43197</v>
      </c>
      <c r="C101" t="s">
        <v>812</v>
      </c>
      <c r="D101" t="s">
        <v>16</v>
      </c>
      <c r="E101" s="12">
        <v>1</v>
      </c>
      <c r="F101" s="154">
        <v>38</v>
      </c>
    </row>
    <row r="102" spans="2:6" x14ac:dyDescent="0.35">
      <c r="B102" s="153">
        <v>43198</v>
      </c>
      <c r="C102" t="s">
        <v>812</v>
      </c>
      <c r="D102" t="s">
        <v>11</v>
      </c>
      <c r="E102" s="12">
        <v>4</v>
      </c>
      <c r="F102" s="154">
        <v>58</v>
      </c>
    </row>
    <row r="103" spans="2:6" x14ac:dyDescent="0.35">
      <c r="B103" s="153">
        <v>43199</v>
      </c>
      <c r="C103" t="s">
        <v>812</v>
      </c>
      <c r="D103" t="s">
        <v>333</v>
      </c>
      <c r="E103" s="12">
        <v>3</v>
      </c>
      <c r="F103" s="154">
        <v>22</v>
      </c>
    </row>
    <row r="104" spans="2:6" x14ac:dyDescent="0.35">
      <c r="B104" s="153">
        <v>43200</v>
      </c>
      <c r="C104" t="s">
        <v>813</v>
      </c>
      <c r="D104" t="s">
        <v>333</v>
      </c>
      <c r="E104" s="12">
        <v>5</v>
      </c>
      <c r="F104" s="154">
        <v>56</v>
      </c>
    </row>
    <row r="105" spans="2:6" x14ac:dyDescent="0.35">
      <c r="B105" s="153">
        <v>43201</v>
      </c>
      <c r="C105" t="s">
        <v>812</v>
      </c>
      <c r="D105" t="s">
        <v>12</v>
      </c>
      <c r="E105" s="12">
        <v>1</v>
      </c>
      <c r="F105" s="154">
        <v>16</v>
      </c>
    </row>
    <row r="106" spans="2:6" x14ac:dyDescent="0.35">
      <c r="B106" s="153">
        <v>43202</v>
      </c>
      <c r="C106" t="s">
        <v>813</v>
      </c>
      <c r="D106" t="s">
        <v>9</v>
      </c>
      <c r="E106" s="12">
        <v>3</v>
      </c>
      <c r="F106" s="154">
        <v>56</v>
      </c>
    </row>
    <row r="107" spans="2:6" x14ac:dyDescent="0.35">
      <c r="B107" s="153">
        <v>43203</v>
      </c>
      <c r="C107" t="s">
        <v>812</v>
      </c>
      <c r="D107" t="s">
        <v>10</v>
      </c>
      <c r="E107" s="12">
        <v>3</v>
      </c>
      <c r="F107" s="154">
        <v>43</v>
      </c>
    </row>
    <row r="108" spans="2:6" x14ac:dyDescent="0.35">
      <c r="B108" s="153">
        <v>43204</v>
      </c>
      <c r="C108" t="s">
        <v>812</v>
      </c>
      <c r="D108" t="s">
        <v>9</v>
      </c>
      <c r="E108" s="12">
        <v>2</v>
      </c>
      <c r="F108" s="154">
        <v>50</v>
      </c>
    </row>
    <row r="109" spans="2:6" x14ac:dyDescent="0.35">
      <c r="B109" s="153">
        <v>43205</v>
      </c>
      <c r="C109" t="s">
        <v>812</v>
      </c>
      <c r="D109" t="s">
        <v>9</v>
      </c>
      <c r="E109" s="12">
        <v>4</v>
      </c>
      <c r="F109" s="154">
        <v>45</v>
      </c>
    </row>
    <row r="110" spans="2:6" x14ac:dyDescent="0.35">
      <c r="B110" s="153">
        <v>43206</v>
      </c>
      <c r="C110" t="s">
        <v>812</v>
      </c>
      <c r="D110" t="s">
        <v>13</v>
      </c>
      <c r="E110" s="12">
        <v>4</v>
      </c>
      <c r="F110" s="154">
        <v>17</v>
      </c>
    </row>
    <row r="111" spans="2:6" x14ac:dyDescent="0.35">
      <c r="B111" s="153">
        <v>43207</v>
      </c>
      <c r="C111" t="s">
        <v>813</v>
      </c>
      <c r="D111" t="s">
        <v>12</v>
      </c>
      <c r="E111" s="12">
        <v>4</v>
      </c>
      <c r="F111" s="154">
        <v>65</v>
      </c>
    </row>
    <row r="112" spans="2:6" x14ac:dyDescent="0.35">
      <c r="B112" s="153">
        <v>43208</v>
      </c>
      <c r="C112" t="s">
        <v>812</v>
      </c>
      <c r="D112" t="s">
        <v>10</v>
      </c>
      <c r="E112" s="12">
        <v>3</v>
      </c>
      <c r="F112" s="154">
        <v>68</v>
      </c>
    </row>
    <row r="113" spans="2:6" x14ac:dyDescent="0.35">
      <c r="B113" s="153">
        <v>43209</v>
      </c>
      <c r="C113" t="s">
        <v>812</v>
      </c>
      <c r="D113" t="s">
        <v>11</v>
      </c>
      <c r="E113" s="12">
        <v>4</v>
      </c>
      <c r="F113" s="154">
        <v>67</v>
      </c>
    </row>
    <row r="114" spans="2:6" x14ac:dyDescent="0.35">
      <c r="B114" s="153">
        <v>43210</v>
      </c>
      <c r="C114" t="s">
        <v>813</v>
      </c>
      <c r="D114" t="s">
        <v>13</v>
      </c>
      <c r="E114" s="12">
        <v>1</v>
      </c>
      <c r="F114" s="154">
        <v>19</v>
      </c>
    </row>
    <row r="115" spans="2:6" x14ac:dyDescent="0.35">
      <c r="B115" s="153">
        <v>43211</v>
      </c>
      <c r="C115" t="s">
        <v>812</v>
      </c>
      <c r="D115" t="s">
        <v>9</v>
      </c>
      <c r="E115" s="12">
        <v>2</v>
      </c>
      <c r="F115" s="154">
        <v>56</v>
      </c>
    </row>
    <row r="116" spans="2:6" x14ac:dyDescent="0.35">
      <c r="B116" s="153">
        <v>43212</v>
      </c>
      <c r="C116" t="s">
        <v>812</v>
      </c>
      <c r="D116" t="s">
        <v>14</v>
      </c>
      <c r="E116" s="12">
        <v>1</v>
      </c>
      <c r="F116" s="154">
        <v>32</v>
      </c>
    </row>
    <row r="117" spans="2:6" x14ac:dyDescent="0.35">
      <c r="B117" s="153">
        <v>43213</v>
      </c>
      <c r="C117" t="s">
        <v>813</v>
      </c>
      <c r="D117" t="s">
        <v>333</v>
      </c>
      <c r="E117" s="12">
        <v>4</v>
      </c>
      <c r="F117" s="154">
        <v>70</v>
      </c>
    </row>
    <row r="118" spans="2:6" x14ac:dyDescent="0.35">
      <c r="B118" s="153">
        <v>43214</v>
      </c>
      <c r="C118" t="s">
        <v>813</v>
      </c>
      <c r="D118" t="s">
        <v>15</v>
      </c>
      <c r="E118" s="12">
        <v>3</v>
      </c>
      <c r="F118" s="154">
        <v>39</v>
      </c>
    </row>
    <row r="119" spans="2:6" x14ac:dyDescent="0.35">
      <c r="B119" s="153">
        <v>43215</v>
      </c>
      <c r="C119" t="s">
        <v>812</v>
      </c>
      <c r="D119" t="s">
        <v>13</v>
      </c>
      <c r="E119" s="12">
        <v>3</v>
      </c>
      <c r="F119" s="154">
        <v>52</v>
      </c>
    </row>
    <row r="120" spans="2:6" x14ac:dyDescent="0.35">
      <c r="B120" s="153">
        <v>43216</v>
      </c>
      <c r="C120" t="s">
        <v>812</v>
      </c>
      <c r="D120" t="s">
        <v>11</v>
      </c>
      <c r="E120" s="12">
        <v>5</v>
      </c>
      <c r="F120" s="154">
        <v>59</v>
      </c>
    </row>
    <row r="121" spans="2:6" x14ac:dyDescent="0.35">
      <c r="B121" s="153">
        <v>43217</v>
      </c>
      <c r="C121" t="s">
        <v>812</v>
      </c>
      <c r="D121" t="s">
        <v>10</v>
      </c>
      <c r="E121" s="12">
        <v>2</v>
      </c>
      <c r="F121" s="154">
        <v>31</v>
      </c>
    </row>
    <row r="122" spans="2:6" x14ac:dyDescent="0.35">
      <c r="B122" s="153">
        <v>43218</v>
      </c>
      <c r="C122" t="s">
        <v>813</v>
      </c>
      <c r="D122" t="s">
        <v>9</v>
      </c>
      <c r="E122" s="12">
        <v>5</v>
      </c>
      <c r="F122" s="154">
        <v>35</v>
      </c>
    </row>
    <row r="123" spans="2:6" x14ac:dyDescent="0.35">
      <c r="B123" s="153">
        <v>43219</v>
      </c>
      <c r="C123" t="s">
        <v>812</v>
      </c>
      <c r="D123" t="s">
        <v>14</v>
      </c>
      <c r="E123" s="12">
        <v>2</v>
      </c>
      <c r="F123" s="154">
        <v>26</v>
      </c>
    </row>
    <row r="124" spans="2:6" x14ac:dyDescent="0.35">
      <c r="B124" s="153">
        <v>43220</v>
      </c>
      <c r="C124" t="s">
        <v>812</v>
      </c>
      <c r="D124" t="s">
        <v>9</v>
      </c>
      <c r="E124" s="12">
        <v>1</v>
      </c>
      <c r="F124" s="154">
        <v>35</v>
      </c>
    </row>
    <row r="125" spans="2:6" x14ac:dyDescent="0.35">
      <c r="B125" s="153">
        <v>43221</v>
      </c>
      <c r="C125" t="s">
        <v>813</v>
      </c>
      <c r="D125" t="s">
        <v>10</v>
      </c>
      <c r="E125" s="12">
        <v>4</v>
      </c>
      <c r="F125" s="154">
        <v>36</v>
      </c>
    </row>
    <row r="126" spans="2:6" x14ac:dyDescent="0.35">
      <c r="B126" s="153">
        <v>43222</v>
      </c>
      <c r="C126" t="s">
        <v>812</v>
      </c>
      <c r="D126" t="s">
        <v>9</v>
      </c>
      <c r="E126" s="12">
        <v>3</v>
      </c>
      <c r="F126" s="154">
        <v>46</v>
      </c>
    </row>
    <row r="127" spans="2:6" x14ac:dyDescent="0.35">
      <c r="B127" s="153">
        <v>43223</v>
      </c>
      <c r="C127" t="s">
        <v>812</v>
      </c>
      <c r="D127" t="s">
        <v>11</v>
      </c>
      <c r="E127" s="12">
        <v>3</v>
      </c>
      <c r="F127" s="154">
        <v>45</v>
      </c>
    </row>
    <row r="128" spans="2:6" x14ac:dyDescent="0.35">
      <c r="B128" s="153">
        <v>43224</v>
      </c>
      <c r="C128" t="s">
        <v>812</v>
      </c>
      <c r="D128" t="s">
        <v>14</v>
      </c>
      <c r="E128" s="12">
        <v>5</v>
      </c>
      <c r="F128" s="154">
        <v>34</v>
      </c>
    </row>
    <row r="129" spans="2:6" x14ac:dyDescent="0.35">
      <c r="B129" s="153">
        <v>43225</v>
      </c>
      <c r="C129" t="s">
        <v>812</v>
      </c>
      <c r="D129" t="s">
        <v>14</v>
      </c>
      <c r="E129" s="12">
        <v>3</v>
      </c>
      <c r="F129" s="154">
        <v>42</v>
      </c>
    </row>
    <row r="130" spans="2:6" x14ac:dyDescent="0.35">
      <c r="B130" s="153">
        <v>43226</v>
      </c>
      <c r="C130" t="s">
        <v>812</v>
      </c>
      <c r="D130" t="s">
        <v>15</v>
      </c>
      <c r="E130" s="12">
        <v>1</v>
      </c>
      <c r="F130" s="154">
        <v>20</v>
      </c>
    </row>
    <row r="131" spans="2:6" x14ac:dyDescent="0.35">
      <c r="B131" s="153">
        <v>43227</v>
      </c>
      <c r="C131" t="s">
        <v>813</v>
      </c>
      <c r="D131" t="s">
        <v>14</v>
      </c>
      <c r="E131" s="12">
        <v>5</v>
      </c>
      <c r="F131" s="154">
        <v>49</v>
      </c>
    </row>
    <row r="132" spans="2:6" x14ac:dyDescent="0.35">
      <c r="B132" s="153">
        <v>43228</v>
      </c>
      <c r="C132" t="s">
        <v>813</v>
      </c>
      <c r="D132" t="s">
        <v>14</v>
      </c>
      <c r="E132" s="12">
        <v>5</v>
      </c>
      <c r="F132" s="154">
        <v>60</v>
      </c>
    </row>
    <row r="133" spans="2:6" x14ac:dyDescent="0.35">
      <c r="B133" s="153">
        <v>43229</v>
      </c>
      <c r="C133" t="s">
        <v>812</v>
      </c>
      <c r="D133" t="s">
        <v>15</v>
      </c>
      <c r="E133" s="12">
        <v>1</v>
      </c>
      <c r="F133" s="154">
        <v>52</v>
      </c>
    </row>
    <row r="134" spans="2:6" x14ac:dyDescent="0.35">
      <c r="B134" s="153">
        <v>43230</v>
      </c>
      <c r="C134" t="s">
        <v>813</v>
      </c>
      <c r="D134" t="s">
        <v>14</v>
      </c>
      <c r="E134" s="12">
        <v>4</v>
      </c>
      <c r="F134" s="154">
        <v>36</v>
      </c>
    </row>
    <row r="135" spans="2:6" x14ac:dyDescent="0.35">
      <c r="B135" s="153">
        <v>43231</v>
      </c>
      <c r="C135" t="s">
        <v>813</v>
      </c>
      <c r="D135" t="s">
        <v>16</v>
      </c>
      <c r="E135" s="12">
        <v>1</v>
      </c>
      <c r="F135" s="154">
        <v>47</v>
      </c>
    </row>
    <row r="136" spans="2:6" x14ac:dyDescent="0.35">
      <c r="B136" s="153">
        <v>43232</v>
      </c>
      <c r="C136" t="s">
        <v>812</v>
      </c>
      <c r="D136" t="s">
        <v>13</v>
      </c>
      <c r="E136" s="12">
        <v>1</v>
      </c>
      <c r="F136" s="154">
        <v>54</v>
      </c>
    </row>
    <row r="137" spans="2:6" x14ac:dyDescent="0.35">
      <c r="B137" s="153">
        <v>43233</v>
      </c>
      <c r="C137" t="s">
        <v>813</v>
      </c>
      <c r="D137" t="s">
        <v>17</v>
      </c>
      <c r="E137" s="12">
        <v>4</v>
      </c>
      <c r="F137" s="154">
        <v>47</v>
      </c>
    </row>
    <row r="138" spans="2:6" x14ac:dyDescent="0.35">
      <c r="B138" s="153">
        <v>43234</v>
      </c>
      <c r="C138" t="s">
        <v>812</v>
      </c>
      <c r="D138" t="s">
        <v>17</v>
      </c>
      <c r="E138" s="12">
        <v>4</v>
      </c>
      <c r="F138" s="154">
        <v>34</v>
      </c>
    </row>
    <row r="139" spans="2:6" x14ac:dyDescent="0.35">
      <c r="B139" s="153">
        <v>43235</v>
      </c>
      <c r="C139" t="s">
        <v>812</v>
      </c>
      <c r="D139" t="s">
        <v>9</v>
      </c>
      <c r="E139" s="12">
        <v>5</v>
      </c>
      <c r="F139" s="154">
        <v>17</v>
      </c>
    </row>
    <row r="140" spans="2:6" x14ac:dyDescent="0.35">
      <c r="B140" s="153">
        <v>43236</v>
      </c>
      <c r="C140" t="s">
        <v>813</v>
      </c>
      <c r="D140" t="s">
        <v>9</v>
      </c>
      <c r="E140" s="12">
        <v>5</v>
      </c>
      <c r="F140" s="154">
        <v>45</v>
      </c>
    </row>
    <row r="141" spans="2:6" x14ac:dyDescent="0.35">
      <c r="B141" s="153">
        <v>43237</v>
      </c>
      <c r="C141" t="s">
        <v>813</v>
      </c>
      <c r="D141" t="s">
        <v>15</v>
      </c>
      <c r="E141" s="12">
        <v>2</v>
      </c>
      <c r="F141" s="154">
        <v>58</v>
      </c>
    </row>
    <row r="142" spans="2:6" x14ac:dyDescent="0.35">
      <c r="B142" s="153">
        <v>43238</v>
      </c>
      <c r="C142" t="s">
        <v>812</v>
      </c>
      <c r="D142" t="s">
        <v>13</v>
      </c>
      <c r="E142" s="12">
        <v>5</v>
      </c>
      <c r="F142" s="154">
        <v>50</v>
      </c>
    </row>
    <row r="143" spans="2:6" x14ac:dyDescent="0.35">
      <c r="B143" s="153">
        <v>43239</v>
      </c>
      <c r="C143" t="s">
        <v>812</v>
      </c>
      <c r="D143" t="s">
        <v>14</v>
      </c>
      <c r="E143" s="12">
        <v>3</v>
      </c>
      <c r="F143" s="154">
        <v>46</v>
      </c>
    </row>
    <row r="144" spans="2:6" x14ac:dyDescent="0.35">
      <c r="B144" s="153">
        <v>43240</v>
      </c>
      <c r="C144" t="s">
        <v>813</v>
      </c>
      <c r="D144" t="s">
        <v>13</v>
      </c>
      <c r="E144" s="12">
        <v>5</v>
      </c>
      <c r="F144" s="154">
        <v>15</v>
      </c>
    </row>
    <row r="145" spans="2:6" x14ac:dyDescent="0.35">
      <c r="B145" s="153">
        <v>43241</v>
      </c>
      <c r="C145" t="s">
        <v>813</v>
      </c>
      <c r="D145" t="s">
        <v>16</v>
      </c>
      <c r="E145" s="12">
        <v>2</v>
      </c>
      <c r="F145" s="154">
        <v>63</v>
      </c>
    </row>
    <row r="146" spans="2:6" x14ac:dyDescent="0.35">
      <c r="B146" s="153">
        <v>43242</v>
      </c>
      <c r="C146" t="s">
        <v>812</v>
      </c>
      <c r="D146" t="s">
        <v>12</v>
      </c>
      <c r="E146" s="12">
        <v>1</v>
      </c>
      <c r="F146" s="154">
        <v>59</v>
      </c>
    </row>
    <row r="147" spans="2:6" x14ac:dyDescent="0.35">
      <c r="B147" s="153">
        <v>43243</v>
      </c>
      <c r="C147" t="s">
        <v>812</v>
      </c>
      <c r="D147" t="s">
        <v>13</v>
      </c>
      <c r="E147" s="12">
        <v>4</v>
      </c>
      <c r="F147" s="154">
        <v>21</v>
      </c>
    </row>
    <row r="148" spans="2:6" x14ac:dyDescent="0.35">
      <c r="B148" s="153">
        <v>43244</v>
      </c>
      <c r="C148" t="s">
        <v>813</v>
      </c>
      <c r="D148" t="s">
        <v>14</v>
      </c>
      <c r="E148" s="12">
        <v>5</v>
      </c>
      <c r="F148" s="154">
        <v>65</v>
      </c>
    </row>
    <row r="149" spans="2:6" x14ac:dyDescent="0.35">
      <c r="B149" s="153">
        <v>43245</v>
      </c>
      <c r="C149" t="s">
        <v>813</v>
      </c>
      <c r="D149" t="s">
        <v>333</v>
      </c>
      <c r="E149" s="12">
        <v>3</v>
      </c>
      <c r="F149" s="154">
        <v>24</v>
      </c>
    </row>
    <row r="150" spans="2:6" x14ac:dyDescent="0.35">
      <c r="B150" s="153">
        <v>43246</v>
      </c>
      <c r="C150" t="s">
        <v>812</v>
      </c>
      <c r="D150" t="s">
        <v>9</v>
      </c>
      <c r="E150" s="12">
        <v>2</v>
      </c>
      <c r="F150" s="154">
        <v>15</v>
      </c>
    </row>
    <row r="151" spans="2:6" x14ac:dyDescent="0.35">
      <c r="B151" s="153">
        <v>43247</v>
      </c>
      <c r="C151" t="s">
        <v>812</v>
      </c>
      <c r="D151" t="s">
        <v>17</v>
      </c>
      <c r="E151" s="12">
        <v>5</v>
      </c>
      <c r="F151" s="154">
        <v>23</v>
      </c>
    </row>
    <row r="152" spans="2:6" x14ac:dyDescent="0.35">
      <c r="B152" s="153">
        <v>43248</v>
      </c>
      <c r="C152" t="s">
        <v>813</v>
      </c>
      <c r="D152" t="s">
        <v>17</v>
      </c>
      <c r="E152" s="12">
        <v>2</v>
      </c>
      <c r="F152" s="154">
        <v>33</v>
      </c>
    </row>
    <row r="153" spans="2:6" x14ac:dyDescent="0.35">
      <c r="B153" s="153">
        <v>43249</v>
      </c>
      <c r="C153" t="s">
        <v>812</v>
      </c>
      <c r="D153" t="s">
        <v>16</v>
      </c>
      <c r="E153" s="12">
        <v>5</v>
      </c>
      <c r="F153" s="154">
        <v>61</v>
      </c>
    </row>
    <row r="154" spans="2:6" x14ac:dyDescent="0.35">
      <c r="B154" s="153">
        <v>43250</v>
      </c>
      <c r="C154" t="s">
        <v>813</v>
      </c>
      <c r="D154" t="s">
        <v>12</v>
      </c>
      <c r="E154" s="12">
        <v>4</v>
      </c>
      <c r="F154" s="154">
        <v>27</v>
      </c>
    </row>
    <row r="155" spans="2:6" x14ac:dyDescent="0.35">
      <c r="B155" s="153">
        <v>43251</v>
      </c>
      <c r="C155" t="s">
        <v>812</v>
      </c>
      <c r="D155" t="s">
        <v>16</v>
      </c>
      <c r="E155" s="12">
        <v>4</v>
      </c>
      <c r="F155" s="154">
        <v>17</v>
      </c>
    </row>
    <row r="156" spans="2:6" x14ac:dyDescent="0.35">
      <c r="B156" s="153">
        <v>43252</v>
      </c>
      <c r="C156" t="s">
        <v>813</v>
      </c>
      <c r="D156" t="s">
        <v>333</v>
      </c>
      <c r="E156" s="12">
        <v>2</v>
      </c>
      <c r="F156" s="154">
        <v>53</v>
      </c>
    </row>
    <row r="157" spans="2:6" x14ac:dyDescent="0.35">
      <c r="B157" s="153">
        <v>43253</v>
      </c>
      <c r="C157" t="s">
        <v>812</v>
      </c>
      <c r="D157" t="s">
        <v>17</v>
      </c>
      <c r="E157" s="12">
        <v>3</v>
      </c>
      <c r="F157" s="154">
        <v>44</v>
      </c>
    </row>
    <row r="158" spans="2:6" x14ac:dyDescent="0.35">
      <c r="B158" s="153">
        <v>43254</v>
      </c>
      <c r="C158" t="s">
        <v>812</v>
      </c>
      <c r="D158" t="s">
        <v>16</v>
      </c>
      <c r="E158" s="12">
        <v>5</v>
      </c>
      <c r="F158" s="154">
        <v>57</v>
      </c>
    </row>
    <row r="159" spans="2:6" x14ac:dyDescent="0.35">
      <c r="B159" s="153">
        <v>43255</v>
      </c>
      <c r="C159" t="s">
        <v>813</v>
      </c>
      <c r="D159" t="s">
        <v>333</v>
      </c>
      <c r="E159" s="12">
        <v>5</v>
      </c>
      <c r="F159" s="154">
        <v>57</v>
      </c>
    </row>
    <row r="160" spans="2:6" x14ac:dyDescent="0.35">
      <c r="B160" s="153">
        <v>43256</v>
      </c>
      <c r="C160" t="s">
        <v>813</v>
      </c>
      <c r="D160" t="s">
        <v>9</v>
      </c>
      <c r="E160" s="12">
        <v>2</v>
      </c>
      <c r="F160" s="154">
        <v>33</v>
      </c>
    </row>
    <row r="161" spans="2:6" x14ac:dyDescent="0.35">
      <c r="B161" s="153">
        <v>43257</v>
      </c>
      <c r="C161" t="s">
        <v>813</v>
      </c>
      <c r="D161" t="s">
        <v>12</v>
      </c>
      <c r="E161" s="12">
        <v>4</v>
      </c>
      <c r="F161" s="154">
        <v>16</v>
      </c>
    </row>
    <row r="162" spans="2:6" x14ac:dyDescent="0.35">
      <c r="B162" s="153">
        <v>43258</v>
      </c>
      <c r="C162" t="s">
        <v>813</v>
      </c>
      <c r="D162" t="s">
        <v>12</v>
      </c>
      <c r="E162" s="12">
        <v>2</v>
      </c>
      <c r="F162" s="154">
        <v>30</v>
      </c>
    </row>
    <row r="163" spans="2:6" x14ac:dyDescent="0.35">
      <c r="B163" s="153">
        <v>43259</v>
      </c>
      <c r="C163" t="s">
        <v>813</v>
      </c>
      <c r="D163" t="s">
        <v>14</v>
      </c>
      <c r="E163" s="12">
        <v>2</v>
      </c>
      <c r="F163" s="154">
        <v>45</v>
      </c>
    </row>
    <row r="164" spans="2:6" x14ac:dyDescent="0.35">
      <c r="B164" s="153">
        <v>43260</v>
      </c>
      <c r="C164" t="s">
        <v>812</v>
      </c>
      <c r="D164" t="s">
        <v>13</v>
      </c>
      <c r="E164" s="12">
        <v>4</v>
      </c>
      <c r="F164" s="154">
        <v>62</v>
      </c>
    </row>
    <row r="165" spans="2:6" x14ac:dyDescent="0.35">
      <c r="B165" s="153">
        <v>43261</v>
      </c>
      <c r="C165" t="s">
        <v>812</v>
      </c>
      <c r="D165" t="s">
        <v>333</v>
      </c>
      <c r="E165" s="12">
        <v>2</v>
      </c>
      <c r="F165" s="154">
        <v>38</v>
      </c>
    </row>
    <row r="166" spans="2:6" x14ac:dyDescent="0.35">
      <c r="B166" s="153">
        <v>43262</v>
      </c>
      <c r="C166" t="s">
        <v>813</v>
      </c>
      <c r="D166" t="s">
        <v>13</v>
      </c>
      <c r="E166" s="12">
        <v>1</v>
      </c>
      <c r="F166" s="154">
        <v>21</v>
      </c>
    </row>
    <row r="167" spans="2:6" x14ac:dyDescent="0.35">
      <c r="B167" s="153">
        <v>43263</v>
      </c>
      <c r="C167" t="s">
        <v>813</v>
      </c>
      <c r="D167" t="s">
        <v>12</v>
      </c>
      <c r="E167" s="12">
        <v>2</v>
      </c>
      <c r="F167" s="154">
        <v>39</v>
      </c>
    </row>
    <row r="168" spans="2:6" x14ac:dyDescent="0.35">
      <c r="B168" s="153">
        <v>43264</v>
      </c>
      <c r="C168" t="s">
        <v>813</v>
      </c>
      <c r="D168" t="s">
        <v>17</v>
      </c>
      <c r="E168" s="12">
        <v>2</v>
      </c>
      <c r="F168" s="154">
        <v>37</v>
      </c>
    </row>
    <row r="169" spans="2:6" x14ac:dyDescent="0.35">
      <c r="B169" s="153">
        <v>43265</v>
      </c>
      <c r="C169" t="s">
        <v>813</v>
      </c>
      <c r="D169" t="s">
        <v>16</v>
      </c>
      <c r="E169" s="12">
        <v>4</v>
      </c>
      <c r="F169" s="154">
        <v>58</v>
      </c>
    </row>
    <row r="170" spans="2:6" x14ac:dyDescent="0.35">
      <c r="B170" s="153">
        <v>43266</v>
      </c>
      <c r="C170" t="s">
        <v>812</v>
      </c>
      <c r="D170" t="s">
        <v>14</v>
      </c>
      <c r="E170" s="12">
        <v>2</v>
      </c>
      <c r="F170" s="154">
        <v>58</v>
      </c>
    </row>
    <row r="171" spans="2:6" x14ac:dyDescent="0.35">
      <c r="B171" s="153">
        <v>43267</v>
      </c>
      <c r="C171" t="s">
        <v>813</v>
      </c>
      <c r="D171" t="s">
        <v>16</v>
      </c>
      <c r="E171" s="12">
        <v>4</v>
      </c>
      <c r="F171" s="154">
        <v>48</v>
      </c>
    </row>
    <row r="172" spans="2:6" x14ac:dyDescent="0.35">
      <c r="B172" s="153">
        <v>43268</v>
      </c>
      <c r="C172" t="s">
        <v>812</v>
      </c>
      <c r="D172" t="s">
        <v>9</v>
      </c>
      <c r="E172" s="12">
        <v>4</v>
      </c>
      <c r="F172" s="154">
        <v>69</v>
      </c>
    </row>
    <row r="173" spans="2:6" x14ac:dyDescent="0.35">
      <c r="B173" s="153">
        <v>43269</v>
      </c>
      <c r="C173" t="s">
        <v>813</v>
      </c>
      <c r="D173" t="s">
        <v>333</v>
      </c>
      <c r="E173" s="12">
        <v>2</v>
      </c>
      <c r="F173" s="154">
        <v>70</v>
      </c>
    </row>
    <row r="174" spans="2:6" x14ac:dyDescent="0.35">
      <c r="B174" s="153">
        <v>43270</v>
      </c>
      <c r="C174" t="s">
        <v>813</v>
      </c>
      <c r="D174" t="s">
        <v>9</v>
      </c>
      <c r="E174" s="12">
        <v>4</v>
      </c>
      <c r="F174" s="154">
        <v>48</v>
      </c>
    </row>
    <row r="175" spans="2:6" x14ac:dyDescent="0.35">
      <c r="B175" s="153">
        <v>43271</v>
      </c>
      <c r="C175" t="s">
        <v>813</v>
      </c>
      <c r="D175" t="s">
        <v>14</v>
      </c>
      <c r="E175" s="12">
        <v>3</v>
      </c>
      <c r="F175" s="154">
        <v>22</v>
      </c>
    </row>
    <row r="176" spans="2:6" x14ac:dyDescent="0.35">
      <c r="B176" s="153">
        <v>43272</v>
      </c>
      <c r="C176" t="s">
        <v>813</v>
      </c>
      <c r="D176" t="s">
        <v>12</v>
      </c>
      <c r="E176" s="12">
        <v>4</v>
      </c>
      <c r="F176" s="154">
        <v>30</v>
      </c>
    </row>
    <row r="177" spans="2:6" x14ac:dyDescent="0.35">
      <c r="B177" s="153">
        <v>43273</v>
      </c>
      <c r="C177" t="s">
        <v>813</v>
      </c>
      <c r="D177" t="s">
        <v>17</v>
      </c>
      <c r="E177" s="12">
        <v>2</v>
      </c>
      <c r="F177" s="154">
        <v>19</v>
      </c>
    </row>
    <row r="178" spans="2:6" x14ac:dyDescent="0.35">
      <c r="B178" s="153">
        <v>43274</v>
      </c>
      <c r="C178" t="s">
        <v>813</v>
      </c>
      <c r="D178" t="s">
        <v>15</v>
      </c>
      <c r="E178" s="12">
        <v>3</v>
      </c>
      <c r="F178" s="154">
        <v>40</v>
      </c>
    </row>
    <row r="179" spans="2:6" x14ac:dyDescent="0.35">
      <c r="B179" s="153">
        <v>43275</v>
      </c>
      <c r="C179" t="s">
        <v>812</v>
      </c>
      <c r="D179" t="s">
        <v>10</v>
      </c>
      <c r="E179" s="12">
        <v>1</v>
      </c>
      <c r="F179" s="154">
        <v>18</v>
      </c>
    </row>
    <row r="180" spans="2:6" x14ac:dyDescent="0.35">
      <c r="B180" s="153">
        <v>43276</v>
      </c>
      <c r="C180" t="s">
        <v>813</v>
      </c>
      <c r="D180" t="s">
        <v>12</v>
      </c>
      <c r="E180" s="12">
        <v>5</v>
      </c>
      <c r="F180" s="154">
        <v>23</v>
      </c>
    </row>
    <row r="181" spans="2:6" x14ac:dyDescent="0.35">
      <c r="B181" s="153">
        <v>43277</v>
      </c>
      <c r="C181" t="s">
        <v>812</v>
      </c>
      <c r="D181" t="s">
        <v>10</v>
      </c>
      <c r="E181" s="12">
        <v>3</v>
      </c>
      <c r="F181" s="154">
        <v>61</v>
      </c>
    </row>
    <row r="182" spans="2:6" x14ac:dyDescent="0.35">
      <c r="B182" s="153">
        <v>43278</v>
      </c>
      <c r="C182" t="s">
        <v>812</v>
      </c>
      <c r="D182" t="s">
        <v>11</v>
      </c>
      <c r="E182" s="12">
        <v>5</v>
      </c>
      <c r="F182" s="154">
        <v>29</v>
      </c>
    </row>
    <row r="183" spans="2:6" x14ac:dyDescent="0.35">
      <c r="B183" s="153">
        <v>43279</v>
      </c>
      <c r="C183" t="s">
        <v>812</v>
      </c>
      <c r="D183" t="s">
        <v>11</v>
      </c>
      <c r="E183" s="12">
        <v>3</v>
      </c>
      <c r="F183" s="154">
        <v>42</v>
      </c>
    </row>
    <row r="184" spans="2:6" x14ac:dyDescent="0.35">
      <c r="B184" s="153">
        <v>43280</v>
      </c>
      <c r="C184" t="s">
        <v>812</v>
      </c>
      <c r="D184" t="s">
        <v>12</v>
      </c>
      <c r="E184" s="12">
        <v>3</v>
      </c>
      <c r="F184" s="154">
        <v>16</v>
      </c>
    </row>
    <row r="185" spans="2:6" x14ac:dyDescent="0.35">
      <c r="B185" s="153">
        <v>43281</v>
      </c>
      <c r="C185" t="s">
        <v>813</v>
      </c>
      <c r="D185" t="s">
        <v>13</v>
      </c>
      <c r="E185" s="12">
        <v>3</v>
      </c>
      <c r="F185" s="154">
        <v>53</v>
      </c>
    </row>
    <row r="186" spans="2:6" x14ac:dyDescent="0.35">
      <c r="B186" s="153">
        <v>43282</v>
      </c>
      <c r="C186" t="s">
        <v>812</v>
      </c>
      <c r="D186" t="s">
        <v>13</v>
      </c>
      <c r="E186" s="12">
        <v>5</v>
      </c>
      <c r="F186" s="154">
        <v>60</v>
      </c>
    </row>
    <row r="187" spans="2:6" x14ac:dyDescent="0.35">
      <c r="B187" s="153">
        <v>43283</v>
      </c>
      <c r="C187" t="s">
        <v>813</v>
      </c>
      <c r="D187" t="s">
        <v>13</v>
      </c>
      <c r="E187" s="12">
        <v>4</v>
      </c>
      <c r="F187" s="154">
        <v>49</v>
      </c>
    </row>
    <row r="188" spans="2:6" x14ac:dyDescent="0.35">
      <c r="B188" s="153">
        <v>43284</v>
      </c>
      <c r="C188" t="s">
        <v>812</v>
      </c>
      <c r="D188" t="s">
        <v>11</v>
      </c>
      <c r="E188" s="12">
        <v>3</v>
      </c>
      <c r="F188" s="154">
        <v>17</v>
      </c>
    </row>
    <row r="189" spans="2:6" x14ac:dyDescent="0.35">
      <c r="B189" s="153">
        <v>43285</v>
      </c>
      <c r="C189" t="s">
        <v>812</v>
      </c>
      <c r="D189" t="s">
        <v>11</v>
      </c>
      <c r="E189" s="12">
        <v>2</v>
      </c>
      <c r="F189" s="154">
        <v>39</v>
      </c>
    </row>
    <row r="190" spans="2:6" x14ac:dyDescent="0.35">
      <c r="B190" s="153">
        <v>43286</v>
      </c>
      <c r="C190" t="s">
        <v>813</v>
      </c>
      <c r="D190" t="s">
        <v>11</v>
      </c>
      <c r="E190" s="12">
        <v>4</v>
      </c>
      <c r="F190" s="154">
        <v>22</v>
      </c>
    </row>
    <row r="191" spans="2:6" x14ac:dyDescent="0.35">
      <c r="B191" s="153">
        <v>43287</v>
      </c>
      <c r="C191" t="s">
        <v>812</v>
      </c>
      <c r="D191" t="s">
        <v>333</v>
      </c>
      <c r="E191" s="12">
        <v>1</v>
      </c>
      <c r="F191" s="154">
        <v>54</v>
      </c>
    </row>
    <row r="192" spans="2:6" x14ac:dyDescent="0.35">
      <c r="B192" s="153">
        <v>43288</v>
      </c>
      <c r="C192" t="s">
        <v>813</v>
      </c>
      <c r="D192" t="s">
        <v>9</v>
      </c>
      <c r="E192" s="12">
        <v>1</v>
      </c>
      <c r="F192" s="154">
        <v>33</v>
      </c>
    </row>
    <row r="193" spans="2:6" x14ac:dyDescent="0.35">
      <c r="B193" s="153">
        <v>43289</v>
      </c>
      <c r="C193" t="s">
        <v>813</v>
      </c>
      <c r="D193" t="s">
        <v>16</v>
      </c>
      <c r="E193" s="12">
        <v>1</v>
      </c>
      <c r="F193" s="154">
        <v>47</v>
      </c>
    </row>
    <row r="194" spans="2:6" x14ac:dyDescent="0.35">
      <c r="B194" s="153">
        <v>43290</v>
      </c>
      <c r="C194" t="s">
        <v>812</v>
      </c>
      <c r="D194" t="s">
        <v>17</v>
      </c>
      <c r="E194" s="12">
        <v>3</v>
      </c>
      <c r="F194" s="154">
        <v>15</v>
      </c>
    </row>
    <row r="195" spans="2:6" x14ac:dyDescent="0.35">
      <c r="B195" s="153">
        <v>43291</v>
      </c>
      <c r="C195" t="s">
        <v>812</v>
      </c>
      <c r="D195" t="s">
        <v>11</v>
      </c>
      <c r="E195" s="12">
        <v>2</v>
      </c>
      <c r="F195" s="154">
        <v>32</v>
      </c>
    </row>
    <row r="196" spans="2:6" x14ac:dyDescent="0.35">
      <c r="B196" s="153">
        <v>43292</v>
      </c>
      <c r="C196" t="s">
        <v>813</v>
      </c>
      <c r="D196" t="s">
        <v>11</v>
      </c>
      <c r="E196" s="12">
        <v>3</v>
      </c>
      <c r="F196" s="154">
        <v>69</v>
      </c>
    </row>
    <row r="197" spans="2:6" x14ac:dyDescent="0.35">
      <c r="B197" s="153">
        <v>43293</v>
      </c>
      <c r="C197" t="s">
        <v>813</v>
      </c>
      <c r="D197" t="s">
        <v>11</v>
      </c>
      <c r="E197" s="12">
        <v>2</v>
      </c>
      <c r="F197" s="154">
        <v>32</v>
      </c>
    </row>
    <row r="198" spans="2:6" x14ac:dyDescent="0.35">
      <c r="B198" s="153">
        <v>43294</v>
      </c>
      <c r="C198" t="s">
        <v>813</v>
      </c>
      <c r="D198" t="s">
        <v>10</v>
      </c>
      <c r="E198" s="12">
        <v>3</v>
      </c>
      <c r="F198" s="154">
        <v>27</v>
      </c>
    </row>
    <row r="199" spans="2:6" x14ac:dyDescent="0.35">
      <c r="B199" s="153">
        <v>43295</v>
      </c>
      <c r="C199" t="s">
        <v>813</v>
      </c>
      <c r="D199" t="s">
        <v>333</v>
      </c>
      <c r="E199" s="12">
        <v>2</v>
      </c>
      <c r="F199" s="154">
        <v>64</v>
      </c>
    </row>
    <row r="200" spans="2:6" x14ac:dyDescent="0.35">
      <c r="B200" s="153">
        <v>43296</v>
      </c>
      <c r="C200" t="s">
        <v>812</v>
      </c>
      <c r="D200" t="s">
        <v>10</v>
      </c>
      <c r="E200" s="12">
        <v>4</v>
      </c>
      <c r="F200" s="154">
        <v>64</v>
      </c>
    </row>
    <row r="201" spans="2:6" x14ac:dyDescent="0.35">
      <c r="B201" s="153">
        <v>43297</v>
      </c>
      <c r="C201" t="s">
        <v>813</v>
      </c>
      <c r="D201" t="s">
        <v>9</v>
      </c>
      <c r="E201" s="12">
        <v>3</v>
      </c>
      <c r="F201" s="154">
        <v>17</v>
      </c>
    </row>
    <row r="202" spans="2:6" x14ac:dyDescent="0.35">
      <c r="B202" s="153">
        <v>43298</v>
      </c>
      <c r="C202" t="s">
        <v>812</v>
      </c>
      <c r="D202" t="s">
        <v>15</v>
      </c>
      <c r="E202" s="12">
        <v>5</v>
      </c>
      <c r="F202" s="154">
        <v>26</v>
      </c>
    </row>
    <row r="203" spans="2:6" x14ac:dyDescent="0.35">
      <c r="B203" s="153">
        <v>43299</v>
      </c>
      <c r="C203" t="s">
        <v>812</v>
      </c>
      <c r="D203" t="s">
        <v>16</v>
      </c>
      <c r="E203" s="12">
        <v>5</v>
      </c>
      <c r="F203" s="154">
        <v>62</v>
      </c>
    </row>
    <row r="204" spans="2:6" x14ac:dyDescent="0.35">
      <c r="B204" s="153">
        <v>43300</v>
      </c>
      <c r="C204" t="s">
        <v>813</v>
      </c>
      <c r="D204" t="s">
        <v>16</v>
      </c>
      <c r="E204" s="12">
        <v>1</v>
      </c>
      <c r="F204" s="154">
        <v>18</v>
      </c>
    </row>
    <row r="205" spans="2:6" x14ac:dyDescent="0.35">
      <c r="B205" s="153">
        <v>43301</v>
      </c>
      <c r="C205" t="s">
        <v>813</v>
      </c>
      <c r="D205" t="s">
        <v>11</v>
      </c>
      <c r="E205" s="12">
        <v>5</v>
      </c>
      <c r="F205" s="154">
        <v>30</v>
      </c>
    </row>
    <row r="206" spans="2:6" x14ac:dyDescent="0.35">
      <c r="B206" s="153">
        <v>43302</v>
      </c>
      <c r="C206" t="s">
        <v>813</v>
      </c>
      <c r="D206" t="s">
        <v>17</v>
      </c>
      <c r="E206" s="12">
        <v>2</v>
      </c>
      <c r="F206" s="154">
        <v>61</v>
      </c>
    </row>
    <row r="207" spans="2:6" x14ac:dyDescent="0.35">
      <c r="B207" s="153">
        <v>43303</v>
      </c>
      <c r="C207" t="s">
        <v>812</v>
      </c>
      <c r="D207" t="s">
        <v>11</v>
      </c>
      <c r="E207" s="12">
        <v>4</v>
      </c>
      <c r="F207" s="154">
        <v>59</v>
      </c>
    </row>
    <row r="208" spans="2:6" x14ac:dyDescent="0.35">
      <c r="B208" s="153">
        <v>43304</v>
      </c>
      <c r="C208" t="s">
        <v>812</v>
      </c>
      <c r="D208" t="s">
        <v>15</v>
      </c>
      <c r="E208" s="12">
        <v>1</v>
      </c>
      <c r="F208" s="154">
        <v>64</v>
      </c>
    </row>
    <row r="209" spans="2:6" x14ac:dyDescent="0.35">
      <c r="B209" s="153">
        <v>43305</v>
      </c>
      <c r="C209" t="s">
        <v>813</v>
      </c>
      <c r="D209" t="s">
        <v>15</v>
      </c>
      <c r="E209" s="12">
        <v>5</v>
      </c>
      <c r="F209" s="154">
        <v>60</v>
      </c>
    </row>
    <row r="210" spans="2:6" x14ac:dyDescent="0.35">
      <c r="B210" s="153">
        <v>43306</v>
      </c>
      <c r="C210" t="s">
        <v>812</v>
      </c>
      <c r="D210" t="s">
        <v>12</v>
      </c>
      <c r="E210" s="12">
        <v>4</v>
      </c>
      <c r="F210" s="154">
        <v>61</v>
      </c>
    </row>
    <row r="211" spans="2:6" x14ac:dyDescent="0.35">
      <c r="B211" s="153">
        <v>43307</v>
      </c>
      <c r="C211" t="s">
        <v>813</v>
      </c>
      <c r="D211" t="s">
        <v>17</v>
      </c>
      <c r="E211" s="12">
        <v>4</v>
      </c>
      <c r="F211" s="154">
        <v>39</v>
      </c>
    </row>
    <row r="212" spans="2:6" x14ac:dyDescent="0.35">
      <c r="B212" s="153">
        <v>43308</v>
      </c>
      <c r="C212" t="s">
        <v>813</v>
      </c>
      <c r="D212" t="s">
        <v>13</v>
      </c>
      <c r="E212" s="12">
        <v>2</v>
      </c>
      <c r="F212" s="154">
        <v>31</v>
      </c>
    </row>
    <row r="213" spans="2:6" x14ac:dyDescent="0.35">
      <c r="B213" s="153">
        <v>43309</v>
      </c>
      <c r="C213" t="s">
        <v>813</v>
      </c>
      <c r="D213" t="s">
        <v>13</v>
      </c>
      <c r="E213" s="12">
        <v>2</v>
      </c>
      <c r="F213" s="154">
        <v>66</v>
      </c>
    </row>
    <row r="214" spans="2:6" x14ac:dyDescent="0.35">
      <c r="B214" s="153">
        <v>43310</v>
      </c>
      <c r="C214" t="s">
        <v>812</v>
      </c>
      <c r="D214" t="s">
        <v>15</v>
      </c>
      <c r="E214" s="12">
        <v>2</v>
      </c>
      <c r="F214" s="154">
        <v>69</v>
      </c>
    </row>
    <row r="215" spans="2:6" x14ac:dyDescent="0.35">
      <c r="B215" s="153">
        <v>43311</v>
      </c>
      <c r="C215" t="s">
        <v>812</v>
      </c>
      <c r="D215" t="s">
        <v>13</v>
      </c>
      <c r="E215" s="12">
        <v>4</v>
      </c>
      <c r="F215" s="154">
        <v>62</v>
      </c>
    </row>
    <row r="216" spans="2:6" x14ac:dyDescent="0.35">
      <c r="B216" s="153">
        <v>43312</v>
      </c>
      <c r="C216" t="s">
        <v>813</v>
      </c>
      <c r="D216" t="s">
        <v>10</v>
      </c>
      <c r="E216" s="12">
        <v>1</v>
      </c>
      <c r="F216" s="154">
        <v>26</v>
      </c>
    </row>
    <row r="217" spans="2:6" x14ac:dyDescent="0.35">
      <c r="B217" s="153">
        <v>43313</v>
      </c>
      <c r="C217" t="s">
        <v>812</v>
      </c>
      <c r="D217" t="s">
        <v>11</v>
      </c>
      <c r="E217" s="12">
        <v>4</v>
      </c>
      <c r="F217" s="154">
        <v>70</v>
      </c>
    </row>
    <row r="218" spans="2:6" x14ac:dyDescent="0.35">
      <c r="B218" s="153">
        <v>43314</v>
      </c>
      <c r="C218" t="s">
        <v>812</v>
      </c>
      <c r="D218" t="s">
        <v>10</v>
      </c>
      <c r="E218" s="12">
        <v>1</v>
      </c>
      <c r="F218" s="154">
        <v>34</v>
      </c>
    </row>
    <row r="219" spans="2:6" x14ac:dyDescent="0.35">
      <c r="B219" s="153">
        <v>43315</v>
      </c>
      <c r="C219" t="s">
        <v>812</v>
      </c>
      <c r="D219" t="s">
        <v>15</v>
      </c>
      <c r="E219" s="12">
        <v>4</v>
      </c>
      <c r="F219" s="154">
        <v>48</v>
      </c>
    </row>
    <row r="220" spans="2:6" x14ac:dyDescent="0.35">
      <c r="B220" s="153">
        <v>43316</v>
      </c>
      <c r="C220" t="s">
        <v>813</v>
      </c>
      <c r="D220" t="s">
        <v>12</v>
      </c>
      <c r="E220" s="12">
        <v>1</v>
      </c>
      <c r="F220" s="154">
        <v>59</v>
      </c>
    </row>
    <row r="221" spans="2:6" x14ac:dyDescent="0.35">
      <c r="B221" s="153">
        <v>43317</v>
      </c>
      <c r="C221" t="s">
        <v>812</v>
      </c>
      <c r="D221" t="s">
        <v>12</v>
      </c>
      <c r="E221" s="12">
        <v>1</v>
      </c>
      <c r="F221" s="154">
        <v>32</v>
      </c>
    </row>
    <row r="222" spans="2:6" x14ac:dyDescent="0.35">
      <c r="B222" s="153">
        <v>43318</v>
      </c>
      <c r="C222" t="s">
        <v>813</v>
      </c>
      <c r="D222" t="s">
        <v>10</v>
      </c>
      <c r="E222" s="12">
        <v>3</v>
      </c>
      <c r="F222" s="154">
        <v>25</v>
      </c>
    </row>
    <row r="223" spans="2:6" x14ac:dyDescent="0.35">
      <c r="B223" s="153">
        <v>43319</v>
      </c>
      <c r="C223" t="s">
        <v>812</v>
      </c>
      <c r="D223" t="s">
        <v>13</v>
      </c>
      <c r="E223" s="12">
        <v>1</v>
      </c>
      <c r="F223" s="154">
        <v>50</v>
      </c>
    </row>
    <row r="224" spans="2:6" x14ac:dyDescent="0.35">
      <c r="B224" s="153">
        <v>43320</v>
      </c>
      <c r="C224" t="s">
        <v>812</v>
      </c>
      <c r="D224" t="s">
        <v>9</v>
      </c>
      <c r="E224" s="12">
        <v>3</v>
      </c>
      <c r="F224" s="154">
        <v>43</v>
      </c>
    </row>
    <row r="225" spans="2:6" x14ac:dyDescent="0.35">
      <c r="B225" s="153">
        <v>43321</v>
      </c>
      <c r="C225" t="s">
        <v>813</v>
      </c>
      <c r="D225" t="s">
        <v>17</v>
      </c>
      <c r="E225" s="12">
        <v>3</v>
      </c>
      <c r="F225" s="154">
        <v>56</v>
      </c>
    </row>
    <row r="226" spans="2:6" x14ac:dyDescent="0.35">
      <c r="B226" s="153">
        <v>43322</v>
      </c>
      <c r="C226" t="s">
        <v>813</v>
      </c>
      <c r="D226" t="s">
        <v>10</v>
      </c>
      <c r="E226" s="12">
        <v>3</v>
      </c>
      <c r="F226" s="154">
        <v>59</v>
      </c>
    </row>
    <row r="227" spans="2:6" x14ac:dyDescent="0.35">
      <c r="B227" s="153">
        <v>43323</v>
      </c>
      <c r="C227" t="s">
        <v>812</v>
      </c>
      <c r="D227" t="s">
        <v>11</v>
      </c>
      <c r="E227" s="12">
        <v>1</v>
      </c>
      <c r="F227" s="154">
        <v>36</v>
      </c>
    </row>
    <row r="228" spans="2:6" x14ac:dyDescent="0.35">
      <c r="B228" s="153">
        <v>43324</v>
      </c>
      <c r="C228" t="s">
        <v>812</v>
      </c>
      <c r="D228" t="s">
        <v>10</v>
      </c>
      <c r="E228" s="12">
        <v>1</v>
      </c>
      <c r="F228" s="154">
        <v>46</v>
      </c>
    </row>
    <row r="229" spans="2:6" x14ac:dyDescent="0.35">
      <c r="B229" s="153">
        <v>43325</v>
      </c>
      <c r="C229" t="s">
        <v>812</v>
      </c>
      <c r="D229" t="s">
        <v>14</v>
      </c>
      <c r="E229" s="12">
        <v>2</v>
      </c>
      <c r="F229" s="154">
        <v>19</v>
      </c>
    </row>
    <row r="230" spans="2:6" x14ac:dyDescent="0.35">
      <c r="B230" s="153">
        <v>43326</v>
      </c>
      <c r="C230" t="s">
        <v>812</v>
      </c>
      <c r="D230" t="s">
        <v>13</v>
      </c>
      <c r="E230" s="12">
        <v>1</v>
      </c>
      <c r="F230" s="154">
        <v>30</v>
      </c>
    </row>
    <row r="231" spans="2:6" x14ac:dyDescent="0.35">
      <c r="B231" s="153">
        <v>43327</v>
      </c>
      <c r="C231" t="s">
        <v>812</v>
      </c>
      <c r="D231" t="s">
        <v>16</v>
      </c>
      <c r="E231" s="12">
        <v>2</v>
      </c>
      <c r="F231" s="154">
        <v>57</v>
      </c>
    </row>
    <row r="232" spans="2:6" x14ac:dyDescent="0.35">
      <c r="B232" s="153">
        <v>43328</v>
      </c>
      <c r="C232" t="s">
        <v>813</v>
      </c>
      <c r="D232" t="s">
        <v>17</v>
      </c>
      <c r="E232" s="12">
        <v>1</v>
      </c>
      <c r="F232" s="154">
        <v>15</v>
      </c>
    </row>
    <row r="233" spans="2:6" x14ac:dyDescent="0.35">
      <c r="B233" s="153">
        <v>43329</v>
      </c>
      <c r="C233" t="s">
        <v>813</v>
      </c>
      <c r="D233" t="s">
        <v>9</v>
      </c>
      <c r="E233" s="12">
        <v>2</v>
      </c>
      <c r="F233" s="154">
        <v>33</v>
      </c>
    </row>
    <row r="234" spans="2:6" x14ac:dyDescent="0.35">
      <c r="B234" s="153">
        <v>43330</v>
      </c>
      <c r="C234" t="s">
        <v>813</v>
      </c>
      <c r="D234" t="s">
        <v>10</v>
      </c>
      <c r="E234" s="12">
        <v>3</v>
      </c>
      <c r="F234" s="154">
        <v>25</v>
      </c>
    </row>
    <row r="235" spans="2:6" x14ac:dyDescent="0.35">
      <c r="B235" s="153">
        <v>43331</v>
      </c>
      <c r="C235" t="s">
        <v>813</v>
      </c>
      <c r="D235" t="s">
        <v>15</v>
      </c>
      <c r="E235" s="12">
        <v>1</v>
      </c>
      <c r="F235" s="154">
        <v>59</v>
      </c>
    </row>
    <row r="236" spans="2:6" x14ac:dyDescent="0.35">
      <c r="B236" s="153">
        <v>43332</v>
      </c>
      <c r="C236" t="s">
        <v>812</v>
      </c>
      <c r="D236" t="s">
        <v>333</v>
      </c>
      <c r="E236" s="12">
        <v>3</v>
      </c>
      <c r="F236" s="154">
        <v>54</v>
      </c>
    </row>
    <row r="237" spans="2:6" x14ac:dyDescent="0.35">
      <c r="B237" s="153">
        <v>43333</v>
      </c>
      <c r="C237" t="s">
        <v>812</v>
      </c>
      <c r="D237" t="s">
        <v>14</v>
      </c>
      <c r="E237" s="12">
        <v>2</v>
      </c>
      <c r="F237" s="154">
        <v>63</v>
      </c>
    </row>
    <row r="238" spans="2:6" x14ac:dyDescent="0.35">
      <c r="B238" s="153">
        <v>43334</v>
      </c>
      <c r="C238" t="s">
        <v>813</v>
      </c>
      <c r="D238" t="s">
        <v>15</v>
      </c>
      <c r="E238" s="12">
        <v>5</v>
      </c>
      <c r="F238" s="154">
        <v>66</v>
      </c>
    </row>
    <row r="239" spans="2:6" x14ac:dyDescent="0.35">
      <c r="B239" s="153">
        <v>43335</v>
      </c>
      <c r="C239" t="s">
        <v>813</v>
      </c>
      <c r="D239" t="s">
        <v>16</v>
      </c>
      <c r="E239" s="12">
        <v>5</v>
      </c>
      <c r="F239" s="154">
        <v>25</v>
      </c>
    </row>
    <row r="240" spans="2:6" x14ac:dyDescent="0.35">
      <c r="B240" s="153">
        <v>43336</v>
      </c>
      <c r="C240" t="s">
        <v>812</v>
      </c>
      <c r="D240" t="s">
        <v>12</v>
      </c>
      <c r="E240" s="12">
        <v>4</v>
      </c>
      <c r="F240" s="154">
        <v>25</v>
      </c>
    </row>
    <row r="241" spans="2:6" x14ac:dyDescent="0.35">
      <c r="B241" s="153">
        <v>43337</v>
      </c>
      <c r="C241" t="s">
        <v>813</v>
      </c>
      <c r="D241" t="s">
        <v>333</v>
      </c>
      <c r="E241" s="12">
        <v>2</v>
      </c>
      <c r="F241" s="154">
        <v>39</v>
      </c>
    </row>
    <row r="242" spans="2:6" x14ac:dyDescent="0.35">
      <c r="B242" s="153">
        <v>43338</v>
      </c>
      <c r="C242" t="s">
        <v>812</v>
      </c>
      <c r="D242" t="s">
        <v>333</v>
      </c>
      <c r="E242" s="12">
        <v>1</v>
      </c>
      <c r="F242" s="154">
        <v>36</v>
      </c>
    </row>
    <row r="243" spans="2:6" x14ac:dyDescent="0.35">
      <c r="B243" s="153">
        <v>43339</v>
      </c>
      <c r="C243" t="s">
        <v>813</v>
      </c>
      <c r="D243" t="s">
        <v>10</v>
      </c>
      <c r="E243" s="12">
        <v>4</v>
      </c>
      <c r="F243" s="154">
        <v>50</v>
      </c>
    </row>
    <row r="244" spans="2:6" x14ac:dyDescent="0.35">
      <c r="B244" s="153">
        <v>43340</v>
      </c>
      <c r="C244" t="s">
        <v>812</v>
      </c>
      <c r="D244" t="s">
        <v>17</v>
      </c>
      <c r="E244" s="12">
        <v>4</v>
      </c>
      <c r="F244" s="154">
        <v>54</v>
      </c>
    </row>
    <row r="245" spans="2:6" x14ac:dyDescent="0.35">
      <c r="B245" s="153">
        <v>43341</v>
      </c>
      <c r="C245" t="s">
        <v>813</v>
      </c>
      <c r="D245" t="s">
        <v>13</v>
      </c>
      <c r="E245" s="12">
        <v>3</v>
      </c>
      <c r="F245" s="154">
        <v>25</v>
      </c>
    </row>
    <row r="246" spans="2:6" x14ac:dyDescent="0.35">
      <c r="B246" s="153">
        <v>43342</v>
      </c>
      <c r="C246" t="s">
        <v>812</v>
      </c>
      <c r="D246" t="s">
        <v>17</v>
      </c>
      <c r="E246" s="12">
        <v>2</v>
      </c>
      <c r="F246" s="154">
        <v>59</v>
      </c>
    </row>
    <row r="247" spans="2:6" x14ac:dyDescent="0.35">
      <c r="B247" s="153">
        <v>43343</v>
      </c>
      <c r="C247" t="s">
        <v>813</v>
      </c>
      <c r="D247" t="s">
        <v>17</v>
      </c>
      <c r="E247" s="12">
        <v>3</v>
      </c>
      <c r="F247" s="154">
        <v>47</v>
      </c>
    </row>
    <row r="248" spans="2:6" x14ac:dyDescent="0.35">
      <c r="B248" s="153">
        <v>43344</v>
      </c>
      <c r="C248" t="s">
        <v>813</v>
      </c>
      <c r="D248" t="s">
        <v>9</v>
      </c>
      <c r="E248" s="12">
        <v>3</v>
      </c>
      <c r="F248" s="154">
        <v>42</v>
      </c>
    </row>
    <row r="249" spans="2:6" x14ac:dyDescent="0.35">
      <c r="B249" s="153">
        <v>43345</v>
      </c>
      <c r="C249" t="s">
        <v>813</v>
      </c>
      <c r="D249" t="s">
        <v>16</v>
      </c>
      <c r="E249" s="12">
        <v>5</v>
      </c>
      <c r="F249" s="154">
        <v>63</v>
      </c>
    </row>
    <row r="250" spans="2:6" x14ac:dyDescent="0.35">
      <c r="B250" s="153">
        <v>43346</v>
      </c>
      <c r="C250" t="s">
        <v>812</v>
      </c>
      <c r="D250" t="s">
        <v>13</v>
      </c>
      <c r="E250" s="12">
        <v>2</v>
      </c>
      <c r="F250" s="154">
        <v>62</v>
      </c>
    </row>
    <row r="251" spans="2:6" x14ac:dyDescent="0.35">
      <c r="B251" s="153">
        <v>43347</v>
      </c>
      <c r="C251" t="s">
        <v>813</v>
      </c>
      <c r="D251" t="s">
        <v>16</v>
      </c>
      <c r="E251" s="12">
        <v>2</v>
      </c>
      <c r="F251" s="154">
        <v>29</v>
      </c>
    </row>
    <row r="252" spans="2:6" x14ac:dyDescent="0.35">
      <c r="B252" s="153">
        <v>43348</v>
      </c>
      <c r="C252" t="s">
        <v>813</v>
      </c>
      <c r="D252" t="s">
        <v>13</v>
      </c>
      <c r="E252" s="12">
        <v>2</v>
      </c>
      <c r="F252" s="154">
        <v>43</v>
      </c>
    </row>
    <row r="253" spans="2:6" x14ac:dyDescent="0.35">
      <c r="B253" s="153">
        <v>43349</v>
      </c>
      <c r="C253" t="s">
        <v>813</v>
      </c>
      <c r="D253" t="s">
        <v>9</v>
      </c>
      <c r="E253" s="12">
        <v>5</v>
      </c>
      <c r="F253" s="154">
        <v>59</v>
      </c>
    </row>
    <row r="254" spans="2:6" x14ac:dyDescent="0.35">
      <c r="B254" s="153">
        <v>43350</v>
      </c>
      <c r="C254" t="s">
        <v>813</v>
      </c>
      <c r="D254" t="s">
        <v>14</v>
      </c>
      <c r="E254" s="12">
        <v>2</v>
      </c>
      <c r="F254" s="154">
        <v>37</v>
      </c>
    </row>
    <row r="255" spans="2:6" x14ac:dyDescent="0.35">
      <c r="B255" s="153">
        <v>43351</v>
      </c>
      <c r="C255" t="s">
        <v>813</v>
      </c>
      <c r="D255" t="s">
        <v>13</v>
      </c>
      <c r="E255" s="12">
        <v>2</v>
      </c>
      <c r="F255" s="154">
        <v>70</v>
      </c>
    </row>
    <row r="256" spans="2:6" x14ac:dyDescent="0.35">
      <c r="B256" s="153">
        <v>43352</v>
      </c>
      <c r="C256" t="s">
        <v>812</v>
      </c>
      <c r="D256" t="s">
        <v>333</v>
      </c>
      <c r="E256" s="12">
        <v>3</v>
      </c>
      <c r="F256" s="154">
        <v>15</v>
      </c>
    </row>
    <row r="257" spans="2:6" x14ac:dyDescent="0.35">
      <c r="B257" s="153">
        <v>43353</v>
      </c>
      <c r="C257" t="s">
        <v>812</v>
      </c>
      <c r="D257" t="s">
        <v>14</v>
      </c>
      <c r="E257" s="12">
        <v>3</v>
      </c>
      <c r="F257" s="154">
        <v>21</v>
      </c>
    </row>
    <row r="258" spans="2:6" x14ac:dyDescent="0.35">
      <c r="B258" s="153">
        <v>43354</v>
      </c>
      <c r="C258" t="s">
        <v>813</v>
      </c>
      <c r="D258" t="s">
        <v>10</v>
      </c>
      <c r="E258" s="12">
        <v>2</v>
      </c>
      <c r="F258" s="154">
        <v>43</v>
      </c>
    </row>
    <row r="259" spans="2:6" x14ac:dyDescent="0.35">
      <c r="B259" s="153">
        <v>43355</v>
      </c>
      <c r="C259" t="s">
        <v>812</v>
      </c>
      <c r="D259" t="s">
        <v>11</v>
      </c>
      <c r="E259" s="12">
        <v>2</v>
      </c>
      <c r="F259" s="154">
        <v>40</v>
      </c>
    </row>
    <row r="260" spans="2:6" x14ac:dyDescent="0.35">
      <c r="B260" s="153">
        <v>43356</v>
      </c>
      <c r="C260" t="s">
        <v>813</v>
      </c>
      <c r="D260" t="s">
        <v>11</v>
      </c>
      <c r="E260" s="12">
        <v>2</v>
      </c>
      <c r="F260" s="154">
        <v>30</v>
      </c>
    </row>
    <row r="261" spans="2:6" x14ac:dyDescent="0.35">
      <c r="B261" s="153">
        <v>43357</v>
      </c>
      <c r="C261" t="s">
        <v>812</v>
      </c>
      <c r="D261" t="s">
        <v>12</v>
      </c>
      <c r="E261" s="12">
        <v>3</v>
      </c>
      <c r="F261" s="154">
        <v>58</v>
      </c>
    </row>
    <row r="262" spans="2:6" x14ac:dyDescent="0.35">
      <c r="B262" s="153">
        <v>43358</v>
      </c>
      <c r="C262" t="s">
        <v>813</v>
      </c>
      <c r="D262" t="s">
        <v>17</v>
      </c>
      <c r="E262" s="12">
        <v>4</v>
      </c>
      <c r="F262" s="154">
        <v>54</v>
      </c>
    </row>
    <row r="263" spans="2:6" x14ac:dyDescent="0.35">
      <c r="B263" s="153">
        <v>43359</v>
      </c>
      <c r="C263" t="s">
        <v>813</v>
      </c>
      <c r="D263" t="s">
        <v>12</v>
      </c>
      <c r="E263" s="12">
        <v>3</v>
      </c>
      <c r="F263" s="154">
        <v>61</v>
      </c>
    </row>
    <row r="264" spans="2:6" x14ac:dyDescent="0.35">
      <c r="B264" s="153">
        <v>43360</v>
      </c>
      <c r="C264" t="s">
        <v>813</v>
      </c>
      <c r="D264" t="s">
        <v>9</v>
      </c>
      <c r="E264" s="12">
        <v>2</v>
      </c>
      <c r="F264" s="154">
        <v>37</v>
      </c>
    </row>
    <row r="265" spans="2:6" x14ac:dyDescent="0.35">
      <c r="B265" s="153">
        <v>43361</v>
      </c>
      <c r="C265" t="s">
        <v>813</v>
      </c>
      <c r="D265" t="s">
        <v>10</v>
      </c>
      <c r="E265" s="12">
        <v>3</v>
      </c>
      <c r="F265" s="154">
        <v>33</v>
      </c>
    </row>
    <row r="266" spans="2:6" x14ac:dyDescent="0.35">
      <c r="B266" s="153">
        <v>43362</v>
      </c>
      <c r="C266" t="s">
        <v>813</v>
      </c>
      <c r="D266" t="s">
        <v>16</v>
      </c>
      <c r="E266" s="12">
        <v>1</v>
      </c>
      <c r="F266" s="154">
        <v>50</v>
      </c>
    </row>
    <row r="267" spans="2:6" x14ac:dyDescent="0.35">
      <c r="B267" s="153">
        <v>43363</v>
      </c>
      <c r="C267" t="s">
        <v>813</v>
      </c>
      <c r="D267" t="s">
        <v>13</v>
      </c>
      <c r="E267" s="12">
        <v>4</v>
      </c>
      <c r="F267" s="154">
        <v>57</v>
      </c>
    </row>
    <row r="268" spans="2:6" x14ac:dyDescent="0.35">
      <c r="B268" s="153">
        <v>43364</v>
      </c>
      <c r="C268" t="s">
        <v>813</v>
      </c>
      <c r="D268" t="s">
        <v>17</v>
      </c>
      <c r="E268" s="12">
        <v>2</v>
      </c>
      <c r="F268" s="154">
        <v>20</v>
      </c>
    </row>
    <row r="269" spans="2:6" x14ac:dyDescent="0.35">
      <c r="B269" s="153">
        <v>43365</v>
      </c>
      <c r="C269" t="s">
        <v>813</v>
      </c>
      <c r="D269" t="s">
        <v>11</v>
      </c>
      <c r="E269" s="12">
        <v>1</v>
      </c>
      <c r="F269" s="154">
        <v>60</v>
      </c>
    </row>
    <row r="270" spans="2:6" x14ac:dyDescent="0.35">
      <c r="B270" s="153">
        <v>43366</v>
      </c>
      <c r="C270" t="s">
        <v>812</v>
      </c>
      <c r="D270" t="s">
        <v>15</v>
      </c>
      <c r="E270" s="12">
        <v>1</v>
      </c>
      <c r="F270" s="154">
        <v>60</v>
      </c>
    </row>
    <row r="271" spans="2:6" x14ac:dyDescent="0.35">
      <c r="B271" s="153">
        <v>43367</v>
      </c>
      <c r="C271" t="s">
        <v>812</v>
      </c>
      <c r="D271" t="s">
        <v>17</v>
      </c>
      <c r="E271" s="12">
        <v>1</v>
      </c>
      <c r="F271" s="154">
        <v>54</v>
      </c>
    </row>
    <row r="272" spans="2:6" x14ac:dyDescent="0.35">
      <c r="B272" s="153">
        <v>43368</v>
      </c>
      <c r="C272" t="s">
        <v>813</v>
      </c>
      <c r="D272" t="s">
        <v>17</v>
      </c>
      <c r="E272" s="12">
        <v>3</v>
      </c>
      <c r="F272" s="154">
        <v>42</v>
      </c>
    </row>
    <row r="273" spans="2:6" x14ac:dyDescent="0.35">
      <c r="B273" s="153">
        <v>43369</v>
      </c>
      <c r="C273" t="s">
        <v>812</v>
      </c>
      <c r="D273" t="s">
        <v>12</v>
      </c>
      <c r="E273" s="12">
        <v>1</v>
      </c>
      <c r="F273" s="154">
        <v>45</v>
      </c>
    </row>
    <row r="274" spans="2:6" x14ac:dyDescent="0.35">
      <c r="B274" s="153">
        <v>43370</v>
      </c>
      <c r="C274" t="s">
        <v>812</v>
      </c>
      <c r="D274" t="s">
        <v>10</v>
      </c>
      <c r="E274" s="12">
        <v>4</v>
      </c>
      <c r="F274" s="154">
        <v>40</v>
      </c>
    </row>
    <row r="275" spans="2:6" x14ac:dyDescent="0.35">
      <c r="B275" s="153">
        <v>43371</v>
      </c>
      <c r="C275" t="s">
        <v>813</v>
      </c>
      <c r="D275" t="s">
        <v>10</v>
      </c>
      <c r="E275" s="12">
        <v>2</v>
      </c>
      <c r="F275" s="154">
        <v>64</v>
      </c>
    </row>
    <row r="276" spans="2:6" x14ac:dyDescent="0.35">
      <c r="B276" s="153">
        <v>43372</v>
      </c>
      <c r="C276" t="s">
        <v>813</v>
      </c>
      <c r="D276" t="s">
        <v>9</v>
      </c>
      <c r="E276" s="12">
        <v>4</v>
      </c>
      <c r="F276" s="154">
        <v>45</v>
      </c>
    </row>
    <row r="277" spans="2:6" x14ac:dyDescent="0.35">
      <c r="B277" s="153">
        <v>43373</v>
      </c>
      <c r="C277" t="s">
        <v>812</v>
      </c>
      <c r="D277" t="s">
        <v>11</v>
      </c>
      <c r="E277" s="12">
        <v>3</v>
      </c>
      <c r="F277" s="154">
        <v>41</v>
      </c>
    </row>
    <row r="278" spans="2:6" x14ac:dyDescent="0.35">
      <c r="B278" s="153">
        <v>43374</v>
      </c>
      <c r="C278" t="s">
        <v>813</v>
      </c>
      <c r="D278" t="s">
        <v>16</v>
      </c>
      <c r="E278" s="12">
        <v>5</v>
      </c>
      <c r="F278" s="154">
        <v>45</v>
      </c>
    </row>
    <row r="279" spans="2:6" x14ac:dyDescent="0.35">
      <c r="B279" s="153">
        <v>43375</v>
      </c>
      <c r="C279" t="s">
        <v>812</v>
      </c>
      <c r="D279" t="s">
        <v>13</v>
      </c>
      <c r="E279" s="12">
        <v>5</v>
      </c>
      <c r="F279" s="154">
        <v>45</v>
      </c>
    </row>
    <row r="280" spans="2:6" x14ac:dyDescent="0.35">
      <c r="B280" s="153">
        <v>43376</v>
      </c>
      <c r="C280" t="s">
        <v>813</v>
      </c>
      <c r="D280" t="s">
        <v>17</v>
      </c>
      <c r="E280" s="12">
        <v>3</v>
      </c>
      <c r="F280" s="154">
        <v>17</v>
      </c>
    </row>
    <row r="281" spans="2:6" x14ac:dyDescent="0.35">
      <c r="B281" s="153">
        <v>43377</v>
      </c>
      <c r="C281" t="s">
        <v>812</v>
      </c>
      <c r="D281" t="s">
        <v>9</v>
      </c>
      <c r="E281" s="12">
        <v>2</v>
      </c>
      <c r="F281" s="154">
        <v>41</v>
      </c>
    </row>
    <row r="282" spans="2:6" x14ac:dyDescent="0.35">
      <c r="B282" s="153">
        <v>43378</v>
      </c>
      <c r="C282" t="s">
        <v>813</v>
      </c>
      <c r="D282" t="s">
        <v>13</v>
      </c>
      <c r="E282" s="12">
        <v>2</v>
      </c>
      <c r="F282" s="154">
        <v>17</v>
      </c>
    </row>
    <row r="283" spans="2:6" x14ac:dyDescent="0.35">
      <c r="B283" s="153">
        <v>43379</v>
      </c>
      <c r="C283" t="s">
        <v>812</v>
      </c>
      <c r="D283" t="s">
        <v>15</v>
      </c>
      <c r="E283" s="12">
        <v>2</v>
      </c>
      <c r="F283" s="154">
        <v>60</v>
      </c>
    </row>
    <row r="284" spans="2:6" x14ac:dyDescent="0.35">
      <c r="B284" s="153">
        <v>43380</v>
      </c>
      <c r="C284" t="s">
        <v>813</v>
      </c>
      <c r="D284" t="s">
        <v>10</v>
      </c>
      <c r="E284" s="12">
        <v>4</v>
      </c>
      <c r="F284" s="154">
        <v>53</v>
      </c>
    </row>
    <row r="285" spans="2:6" x14ac:dyDescent="0.35">
      <c r="B285" s="153">
        <v>43381</v>
      </c>
      <c r="C285" t="s">
        <v>813</v>
      </c>
      <c r="D285" t="s">
        <v>10</v>
      </c>
      <c r="E285" s="12">
        <v>4</v>
      </c>
      <c r="F285" s="154">
        <v>21</v>
      </c>
    </row>
    <row r="286" spans="2:6" x14ac:dyDescent="0.35">
      <c r="B286" s="153">
        <v>43382</v>
      </c>
      <c r="C286" t="s">
        <v>813</v>
      </c>
      <c r="D286" t="s">
        <v>14</v>
      </c>
      <c r="E286" s="12">
        <v>4</v>
      </c>
      <c r="F286" s="154">
        <v>44</v>
      </c>
    </row>
    <row r="287" spans="2:6" x14ac:dyDescent="0.35">
      <c r="B287" s="153">
        <v>43383</v>
      </c>
      <c r="C287" t="s">
        <v>812</v>
      </c>
      <c r="D287" t="s">
        <v>16</v>
      </c>
      <c r="E287" s="12">
        <v>1</v>
      </c>
      <c r="F287" s="154">
        <v>56</v>
      </c>
    </row>
    <row r="288" spans="2:6" x14ac:dyDescent="0.35">
      <c r="B288" s="153">
        <v>43384</v>
      </c>
      <c r="C288" t="s">
        <v>813</v>
      </c>
      <c r="D288" t="s">
        <v>9</v>
      </c>
      <c r="E288" s="12">
        <v>2</v>
      </c>
      <c r="F288" s="154">
        <v>55</v>
      </c>
    </row>
    <row r="289" spans="2:6" x14ac:dyDescent="0.35">
      <c r="B289" s="153">
        <v>43385</v>
      </c>
      <c r="C289" t="s">
        <v>812</v>
      </c>
      <c r="D289" t="s">
        <v>17</v>
      </c>
      <c r="E289" s="12">
        <v>5</v>
      </c>
      <c r="F289" s="154">
        <v>38</v>
      </c>
    </row>
    <row r="290" spans="2:6" x14ac:dyDescent="0.35">
      <c r="B290" s="153">
        <v>43386</v>
      </c>
      <c r="C290" t="s">
        <v>813</v>
      </c>
      <c r="D290" t="s">
        <v>10</v>
      </c>
      <c r="E290" s="12">
        <v>2</v>
      </c>
      <c r="F290" s="154">
        <v>68</v>
      </c>
    </row>
    <row r="291" spans="2:6" x14ac:dyDescent="0.35">
      <c r="B291" s="153">
        <v>43387</v>
      </c>
      <c r="C291" t="s">
        <v>813</v>
      </c>
      <c r="D291" t="s">
        <v>11</v>
      </c>
      <c r="E291" s="12">
        <v>2</v>
      </c>
      <c r="F291" s="154">
        <v>62</v>
      </c>
    </row>
    <row r="292" spans="2:6" x14ac:dyDescent="0.35">
      <c r="B292" s="153">
        <v>43388</v>
      </c>
      <c r="C292" t="s">
        <v>813</v>
      </c>
      <c r="D292" t="s">
        <v>9</v>
      </c>
      <c r="E292" s="12">
        <v>2</v>
      </c>
      <c r="F292" s="154">
        <v>70</v>
      </c>
    </row>
    <row r="293" spans="2:6" x14ac:dyDescent="0.35">
      <c r="B293" s="153">
        <v>43389</v>
      </c>
      <c r="C293" t="s">
        <v>813</v>
      </c>
      <c r="D293" t="s">
        <v>12</v>
      </c>
      <c r="E293" s="12">
        <v>4</v>
      </c>
      <c r="F293" s="154">
        <v>56</v>
      </c>
    </row>
    <row r="294" spans="2:6" x14ac:dyDescent="0.35">
      <c r="B294" s="153">
        <v>43390</v>
      </c>
      <c r="C294" t="s">
        <v>813</v>
      </c>
      <c r="D294" t="s">
        <v>333</v>
      </c>
      <c r="E294" s="12">
        <v>3</v>
      </c>
      <c r="F294" s="154">
        <v>26</v>
      </c>
    </row>
    <row r="295" spans="2:6" x14ac:dyDescent="0.35">
      <c r="B295" s="153">
        <v>43391</v>
      </c>
      <c r="C295" t="s">
        <v>813</v>
      </c>
      <c r="D295" t="s">
        <v>10</v>
      </c>
      <c r="E295" s="12">
        <v>2</v>
      </c>
      <c r="F295" s="154">
        <v>51</v>
      </c>
    </row>
    <row r="296" spans="2:6" x14ac:dyDescent="0.35">
      <c r="B296" s="153">
        <v>43392</v>
      </c>
      <c r="C296" t="s">
        <v>812</v>
      </c>
      <c r="D296" t="s">
        <v>9</v>
      </c>
      <c r="E296" s="12">
        <v>2</v>
      </c>
      <c r="F296" s="154">
        <v>46</v>
      </c>
    </row>
    <row r="297" spans="2:6" x14ac:dyDescent="0.35">
      <c r="B297" s="153">
        <v>43393</v>
      </c>
      <c r="C297" t="s">
        <v>812</v>
      </c>
      <c r="D297" t="s">
        <v>13</v>
      </c>
      <c r="E297" s="12">
        <v>2</v>
      </c>
      <c r="F297" s="154">
        <v>23</v>
      </c>
    </row>
    <row r="298" spans="2:6" x14ac:dyDescent="0.35">
      <c r="B298" s="153">
        <v>43394</v>
      </c>
      <c r="C298" t="s">
        <v>812</v>
      </c>
      <c r="D298" t="s">
        <v>14</v>
      </c>
      <c r="E298" s="12">
        <v>5</v>
      </c>
      <c r="F298" s="154">
        <v>57</v>
      </c>
    </row>
    <row r="299" spans="2:6" x14ac:dyDescent="0.35">
      <c r="B299" s="153">
        <v>43395</v>
      </c>
      <c r="C299" t="s">
        <v>813</v>
      </c>
      <c r="D299" t="s">
        <v>14</v>
      </c>
      <c r="E299" s="12">
        <v>3</v>
      </c>
      <c r="F299" s="154">
        <v>41</v>
      </c>
    </row>
    <row r="300" spans="2:6" x14ac:dyDescent="0.35">
      <c r="B300" s="153">
        <v>43396</v>
      </c>
      <c r="C300" t="s">
        <v>812</v>
      </c>
      <c r="D300" t="s">
        <v>15</v>
      </c>
      <c r="E300" s="12">
        <v>4</v>
      </c>
      <c r="F300" s="154">
        <v>26</v>
      </c>
    </row>
    <row r="301" spans="2:6" x14ac:dyDescent="0.35">
      <c r="B301" s="153">
        <v>43397</v>
      </c>
      <c r="C301" t="s">
        <v>813</v>
      </c>
      <c r="D301" t="s">
        <v>17</v>
      </c>
      <c r="E301" s="12">
        <v>3</v>
      </c>
      <c r="F301" s="154">
        <v>65</v>
      </c>
    </row>
    <row r="302" spans="2:6" x14ac:dyDescent="0.35">
      <c r="B302" s="153">
        <v>43398</v>
      </c>
      <c r="C302" t="s">
        <v>812</v>
      </c>
      <c r="D302" t="s">
        <v>9</v>
      </c>
      <c r="E302" s="12">
        <v>4</v>
      </c>
      <c r="F302" s="154">
        <v>23</v>
      </c>
    </row>
    <row r="303" spans="2:6" x14ac:dyDescent="0.35">
      <c r="B303" s="153">
        <v>43399</v>
      </c>
      <c r="C303" t="s">
        <v>812</v>
      </c>
      <c r="D303" t="s">
        <v>9</v>
      </c>
      <c r="E303" s="12">
        <v>3</v>
      </c>
      <c r="F303" s="154">
        <v>32</v>
      </c>
    </row>
    <row r="304" spans="2:6" x14ac:dyDescent="0.35">
      <c r="B304" s="153">
        <v>43400</v>
      </c>
      <c r="C304" t="s">
        <v>813</v>
      </c>
      <c r="D304" t="s">
        <v>17</v>
      </c>
      <c r="E304" s="12">
        <v>3</v>
      </c>
      <c r="F304" s="154">
        <v>38</v>
      </c>
    </row>
    <row r="305" spans="2:6" x14ac:dyDescent="0.35">
      <c r="B305" s="153">
        <v>43401</v>
      </c>
      <c r="C305" t="s">
        <v>813</v>
      </c>
      <c r="D305" t="s">
        <v>16</v>
      </c>
      <c r="E305" s="12">
        <v>5</v>
      </c>
      <c r="F305" s="154">
        <v>42</v>
      </c>
    </row>
    <row r="306" spans="2:6" x14ac:dyDescent="0.35">
      <c r="B306" s="153">
        <v>43402</v>
      </c>
      <c r="C306" t="s">
        <v>812</v>
      </c>
      <c r="D306" t="s">
        <v>14</v>
      </c>
      <c r="E306" s="12">
        <v>4</v>
      </c>
      <c r="F306" s="154">
        <v>64</v>
      </c>
    </row>
    <row r="307" spans="2:6" x14ac:dyDescent="0.35">
      <c r="B307" s="153">
        <v>43403</v>
      </c>
      <c r="C307" t="s">
        <v>812</v>
      </c>
      <c r="D307" t="s">
        <v>16</v>
      </c>
      <c r="E307" s="12">
        <v>4</v>
      </c>
      <c r="F307" s="154">
        <v>55</v>
      </c>
    </row>
    <row r="308" spans="2:6" x14ac:dyDescent="0.35">
      <c r="B308" s="153">
        <v>43404</v>
      </c>
      <c r="C308" t="s">
        <v>813</v>
      </c>
      <c r="D308" t="s">
        <v>10</v>
      </c>
      <c r="E308" s="12">
        <v>2</v>
      </c>
      <c r="F308" s="154">
        <v>66</v>
      </c>
    </row>
    <row r="309" spans="2:6" x14ac:dyDescent="0.35">
      <c r="B309" s="153">
        <v>43405</v>
      </c>
      <c r="C309" t="s">
        <v>812</v>
      </c>
      <c r="D309" t="s">
        <v>16</v>
      </c>
      <c r="E309" s="12">
        <v>4</v>
      </c>
      <c r="F309" s="154">
        <v>40</v>
      </c>
    </row>
    <row r="310" spans="2:6" x14ac:dyDescent="0.35">
      <c r="B310" s="153">
        <v>43406</v>
      </c>
      <c r="C310" t="s">
        <v>812</v>
      </c>
      <c r="D310" t="s">
        <v>14</v>
      </c>
      <c r="E310" s="12">
        <v>4</v>
      </c>
      <c r="F310" s="154">
        <v>48</v>
      </c>
    </row>
    <row r="311" spans="2:6" x14ac:dyDescent="0.35">
      <c r="B311" s="153">
        <v>43407</v>
      </c>
      <c r="C311" t="s">
        <v>813</v>
      </c>
      <c r="D311" t="s">
        <v>13</v>
      </c>
      <c r="E311" s="12">
        <v>4</v>
      </c>
      <c r="F311" s="154">
        <v>21</v>
      </c>
    </row>
    <row r="312" spans="2:6" x14ac:dyDescent="0.35">
      <c r="B312" s="153">
        <v>43408</v>
      </c>
      <c r="C312" t="s">
        <v>812</v>
      </c>
      <c r="D312" t="s">
        <v>9</v>
      </c>
      <c r="E312" s="12">
        <v>2</v>
      </c>
      <c r="F312" s="154">
        <v>36</v>
      </c>
    </row>
    <row r="313" spans="2:6" x14ac:dyDescent="0.35">
      <c r="B313" s="153">
        <v>43409</v>
      </c>
      <c r="C313" t="s">
        <v>812</v>
      </c>
      <c r="D313" t="s">
        <v>16</v>
      </c>
      <c r="E313" s="12">
        <v>2</v>
      </c>
      <c r="F313" s="154">
        <v>30</v>
      </c>
    </row>
    <row r="314" spans="2:6" x14ac:dyDescent="0.35">
      <c r="B314" s="153">
        <v>43410</v>
      </c>
      <c r="C314" t="s">
        <v>812</v>
      </c>
      <c r="D314" t="s">
        <v>12</v>
      </c>
      <c r="E314" s="12">
        <v>3</v>
      </c>
      <c r="F314" s="154">
        <v>26</v>
      </c>
    </row>
    <row r="315" spans="2:6" x14ac:dyDescent="0.35">
      <c r="B315" s="153">
        <v>43411</v>
      </c>
      <c r="C315" t="s">
        <v>813</v>
      </c>
      <c r="D315" t="s">
        <v>333</v>
      </c>
      <c r="E315" s="12">
        <v>1</v>
      </c>
      <c r="F315" s="154">
        <v>21</v>
      </c>
    </row>
    <row r="316" spans="2:6" x14ac:dyDescent="0.35">
      <c r="B316" s="153">
        <v>43412</v>
      </c>
      <c r="C316" t="s">
        <v>812</v>
      </c>
      <c r="D316" t="s">
        <v>12</v>
      </c>
      <c r="E316" s="12">
        <v>5</v>
      </c>
      <c r="F316" s="154">
        <v>57</v>
      </c>
    </row>
    <row r="317" spans="2:6" x14ac:dyDescent="0.35">
      <c r="B317" s="153">
        <v>43413</v>
      </c>
      <c r="C317" t="s">
        <v>812</v>
      </c>
      <c r="D317" t="s">
        <v>14</v>
      </c>
      <c r="E317" s="12">
        <v>5</v>
      </c>
      <c r="F317" s="154">
        <v>26</v>
      </c>
    </row>
    <row r="318" spans="2:6" x14ac:dyDescent="0.35">
      <c r="B318" s="153">
        <v>43414</v>
      </c>
      <c r="C318" t="s">
        <v>813</v>
      </c>
      <c r="D318" t="s">
        <v>13</v>
      </c>
      <c r="E318" s="12">
        <v>2</v>
      </c>
      <c r="F318" s="154">
        <v>26</v>
      </c>
    </row>
    <row r="319" spans="2:6" x14ac:dyDescent="0.35">
      <c r="B319" s="153">
        <v>43415</v>
      </c>
      <c r="C319" t="s">
        <v>812</v>
      </c>
      <c r="D319" t="s">
        <v>13</v>
      </c>
      <c r="E319" s="12">
        <v>1</v>
      </c>
      <c r="F319" s="154">
        <v>66</v>
      </c>
    </row>
    <row r="320" spans="2:6" x14ac:dyDescent="0.35">
      <c r="B320" s="153">
        <v>43416</v>
      </c>
      <c r="C320" t="s">
        <v>812</v>
      </c>
      <c r="D320" t="s">
        <v>13</v>
      </c>
      <c r="E320" s="12">
        <v>1</v>
      </c>
      <c r="F320" s="154">
        <v>70</v>
      </c>
    </row>
    <row r="321" spans="2:6" x14ac:dyDescent="0.35">
      <c r="B321" s="153">
        <v>43417</v>
      </c>
      <c r="C321" t="s">
        <v>813</v>
      </c>
      <c r="D321" t="s">
        <v>17</v>
      </c>
      <c r="E321" s="12">
        <v>5</v>
      </c>
      <c r="F321" s="154">
        <v>24</v>
      </c>
    </row>
    <row r="322" spans="2:6" x14ac:dyDescent="0.35">
      <c r="B322" s="153">
        <v>43418</v>
      </c>
      <c r="C322" t="s">
        <v>812</v>
      </c>
      <c r="D322" t="s">
        <v>14</v>
      </c>
      <c r="E322" s="12">
        <v>4</v>
      </c>
      <c r="F322" s="154">
        <v>66</v>
      </c>
    </row>
    <row r="323" spans="2:6" x14ac:dyDescent="0.35">
      <c r="B323" s="153">
        <v>43419</v>
      </c>
      <c r="C323" t="s">
        <v>813</v>
      </c>
      <c r="D323" t="s">
        <v>15</v>
      </c>
      <c r="E323" s="12">
        <v>3</v>
      </c>
      <c r="F323" s="154">
        <v>54</v>
      </c>
    </row>
    <row r="324" spans="2:6" x14ac:dyDescent="0.35">
      <c r="B324" s="153">
        <v>43420</v>
      </c>
      <c r="C324" t="s">
        <v>812</v>
      </c>
      <c r="D324" t="s">
        <v>13</v>
      </c>
      <c r="E324" s="12">
        <v>2</v>
      </c>
      <c r="F324" s="154">
        <v>51</v>
      </c>
    </row>
    <row r="325" spans="2:6" x14ac:dyDescent="0.35">
      <c r="B325" s="153">
        <v>43421</v>
      </c>
      <c r="C325" t="s">
        <v>812</v>
      </c>
      <c r="D325" t="s">
        <v>16</v>
      </c>
      <c r="E325" s="12">
        <v>3</v>
      </c>
      <c r="F325" s="154">
        <v>26</v>
      </c>
    </row>
    <row r="326" spans="2:6" x14ac:dyDescent="0.35">
      <c r="B326" s="153">
        <v>43422</v>
      </c>
      <c r="C326" t="s">
        <v>812</v>
      </c>
      <c r="D326" t="s">
        <v>16</v>
      </c>
      <c r="E326" s="12">
        <v>1</v>
      </c>
      <c r="F326" s="154">
        <v>31</v>
      </c>
    </row>
    <row r="327" spans="2:6" x14ac:dyDescent="0.35">
      <c r="B327" s="153">
        <v>43423</v>
      </c>
      <c r="C327" t="s">
        <v>812</v>
      </c>
      <c r="D327" t="s">
        <v>15</v>
      </c>
      <c r="E327" s="12">
        <v>1</v>
      </c>
      <c r="F327" s="154">
        <v>53</v>
      </c>
    </row>
    <row r="328" spans="2:6" x14ac:dyDescent="0.35">
      <c r="B328" s="153">
        <v>43424</v>
      </c>
      <c r="C328" t="s">
        <v>813</v>
      </c>
      <c r="D328" t="s">
        <v>11</v>
      </c>
      <c r="E328" s="12">
        <v>4</v>
      </c>
      <c r="F328" s="154">
        <v>43</v>
      </c>
    </row>
    <row r="329" spans="2:6" x14ac:dyDescent="0.35">
      <c r="B329" s="153">
        <v>43425</v>
      </c>
      <c r="C329" t="s">
        <v>813</v>
      </c>
      <c r="D329" t="s">
        <v>12</v>
      </c>
      <c r="E329" s="12">
        <v>1</v>
      </c>
      <c r="F329" s="154">
        <v>34</v>
      </c>
    </row>
    <row r="330" spans="2:6" x14ac:dyDescent="0.35">
      <c r="B330" s="153">
        <v>43426</v>
      </c>
      <c r="C330" t="s">
        <v>812</v>
      </c>
      <c r="D330" t="s">
        <v>10</v>
      </c>
      <c r="E330" s="12">
        <v>1</v>
      </c>
      <c r="F330" s="154">
        <v>46</v>
      </c>
    </row>
    <row r="331" spans="2:6" x14ac:dyDescent="0.35">
      <c r="B331" s="153">
        <v>43427</v>
      </c>
      <c r="C331" t="s">
        <v>813</v>
      </c>
      <c r="D331" t="s">
        <v>15</v>
      </c>
      <c r="E331" s="12">
        <v>4</v>
      </c>
      <c r="F331" s="154">
        <v>17</v>
      </c>
    </row>
    <row r="332" spans="2:6" x14ac:dyDescent="0.35">
      <c r="B332" s="153">
        <v>43428</v>
      </c>
      <c r="C332" t="s">
        <v>813</v>
      </c>
      <c r="D332" t="s">
        <v>11</v>
      </c>
      <c r="E332" s="12">
        <v>3</v>
      </c>
      <c r="F332" s="154">
        <v>50</v>
      </c>
    </row>
    <row r="333" spans="2:6" x14ac:dyDescent="0.35">
      <c r="B333" s="153">
        <v>43429</v>
      </c>
      <c r="C333" t="s">
        <v>812</v>
      </c>
      <c r="D333" t="s">
        <v>9</v>
      </c>
      <c r="E333" s="12">
        <v>1</v>
      </c>
      <c r="F333" s="154">
        <v>40</v>
      </c>
    </row>
    <row r="334" spans="2:6" x14ac:dyDescent="0.35">
      <c r="B334" s="153">
        <v>43430</v>
      </c>
      <c r="C334" t="s">
        <v>812</v>
      </c>
      <c r="D334" t="s">
        <v>9</v>
      </c>
      <c r="E334" s="12">
        <v>2</v>
      </c>
      <c r="F334" s="154">
        <v>62</v>
      </c>
    </row>
    <row r="335" spans="2:6" x14ac:dyDescent="0.35">
      <c r="B335" s="153">
        <v>43431</v>
      </c>
      <c r="C335" t="s">
        <v>812</v>
      </c>
      <c r="D335" t="s">
        <v>9</v>
      </c>
      <c r="E335" s="12">
        <v>1</v>
      </c>
      <c r="F335" s="154">
        <v>26</v>
      </c>
    </row>
    <row r="336" spans="2:6" x14ac:dyDescent="0.35">
      <c r="B336" s="153">
        <v>43432</v>
      </c>
      <c r="C336" t="s">
        <v>813</v>
      </c>
      <c r="D336" t="s">
        <v>14</v>
      </c>
      <c r="E336" s="12">
        <v>1</v>
      </c>
      <c r="F336" s="154">
        <v>15</v>
      </c>
    </row>
    <row r="337" spans="2:6" x14ac:dyDescent="0.35">
      <c r="B337" s="153">
        <v>43433</v>
      </c>
      <c r="C337" t="s">
        <v>812</v>
      </c>
      <c r="D337" t="s">
        <v>17</v>
      </c>
      <c r="E337" s="12">
        <v>1</v>
      </c>
      <c r="F337" s="154">
        <v>16</v>
      </c>
    </row>
    <row r="338" spans="2:6" x14ac:dyDescent="0.35">
      <c r="B338" s="153">
        <v>43434</v>
      </c>
      <c r="C338" t="s">
        <v>813</v>
      </c>
      <c r="D338" t="s">
        <v>333</v>
      </c>
      <c r="E338" s="12">
        <v>1</v>
      </c>
      <c r="F338" s="154">
        <v>48</v>
      </c>
    </row>
    <row r="339" spans="2:6" x14ac:dyDescent="0.35">
      <c r="B339" s="153">
        <v>43435</v>
      </c>
      <c r="C339" t="s">
        <v>813</v>
      </c>
      <c r="D339" t="s">
        <v>11</v>
      </c>
      <c r="E339" s="12">
        <v>5</v>
      </c>
      <c r="F339" s="154">
        <v>57</v>
      </c>
    </row>
    <row r="340" spans="2:6" x14ac:dyDescent="0.35">
      <c r="B340" s="153">
        <v>43436</v>
      </c>
      <c r="C340" t="s">
        <v>813</v>
      </c>
      <c r="D340" t="s">
        <v>16</v>
      </c>
      <c r="E340" s="12">
        <v>2</v>
      </c>
      <c r="F340" s="154">
        <v>40</v>
      </c>
    </row>
    <row r="341" spans="2:6" x14ac:dyDescent="0.35">
      <c r="B341" s="153">
        <v>43437</v>
      </c>
      <c r="C341" t="s">
        <v>813</v>
      </c>
      <c r="D341" t="s">
        <v>12</v>
      </c>
      <c r="E341" s="12">
        <v>1</v>
      </c>
      <c r="F341" s="154">
        <v>20</v>
      </c>
    </row>
    <row r="342" spans="2:6" x14ac:dyDescent="0.35">
      <c r="B342" s="153">
        <v>43438</v>
      </c>
      <c r="C342" t="s">
        <v>813</v>
      </c>
      <c r="D342" t="s">
        <v>16</v>
      </c>
      <c r="E342" s="12">
        <v>3</v>
      </c>
      <c r="F342" s="154">
        <v>28</v>
      </c>
    </row>
    <row r="343" spans="2:6" x14ac:dyDescent="0.35">
      <c r="B343" s="153">
        <v>43439</v>
      </c>
      <c r="C343" t="s">
        <v>813</v>
      </c>
      <c r="D343" t="s">
        <v>12</v>
      </c>
      <c r="E343" s="12">
        <v>4</v>
      </c>
      <c r="F343" s="154">
        <v>56</v>
      </c>
    </row>
    <row r="344" spans="2:6" x14ac:dyDescent="0.35">
      <c r="B344" s="153">
        <v>43440</v>
      </c>
      <c r="C344" t="s">
        <v>813</v>
      </c>
      <c r="D344" t="s">
        <v>11</v>
      </c>
      <c r="E344" s="12">
        <v>3</v>
      </c>
      <c r="F344" s="154">
        <v>60</v>
      </c>
    </row>
    <row r="345" spans="2:6" x14ac:dyDescent="0.35">
      <c r="B345" s="153">
        <v>43441</v>
      </c>
      <c r="C345" t="s">
        <v>813</v>
      </c>
      <c r="D345" t="s">
        <v>12</v>
      </c>
      <c r="E345" s="12">
        <v>5</v>
      </c>
      <c r="F345" s="154">
        <v>25</v>
      </c>
    </row>
    <row r="346" spans="2:6" x14ac:dyDescent="0.35">
      <c r="B346" s="153">
        <v>43442</v>
      </c>
      <c r="C346" t="s">
        <v>812</v>
      </c>
      <c r="D346" t="s">
        <v>17</v>
      </c>
      <c r="E346" s="12">
        <v>4</v>
      </c>
      <c r="F346" s="154">
        <v>35</v>
      </c>
    </row>
    <row r="347" spans="2:6" x14ac:dyDescent="0.35">
      <c r="B347" s="153">
        <v>43443</v>
      </c>
      <c r="C347" t="s">
        <v>813</v>
      </c>
      <c r="D347" t="s">
        <v>9</v>
      </c>
      <c r="E347" s="12">
        <v>2</v>
      </c>
      <c r="F347" s="154">
        <v>67</v>
      </c>
    </row>
    <row r="348" spans="2:6" x14ac:dyDescent="0.35">
      <c r="B348" s="153">
        <v>43444</v>
      </c>
      <c r="C348" t="s">
        <v>813</v>
      </c>
      <c r="D348" t="s">
        <v>12</v>
      </c>
      <c r="E348" s="12">
        <v>4</v>
      </c>
      <c r="F348" s="154">
        <v>16</v>
      </c>
    </row>
    <row r="349" spans="2:6" x14ac:dyDescent="0.35">
      <c r="B349" s="153">
        <v>43445</v>
      </c>
      <c r="C349" t="s">
        <v>812</v>
      </c>
      <c r="D349" t="s">
        <v>17</v>
      </c>
      <c r="E349" s="12">
        <v>4</v>
      </c>
      <c r="F349" s="154">
        <v>22</v>
      </c>
    </row>
    <row r="350" spans="2:6" x14ac:dyDescent="0.35">
      <c r="B350" s="153">
        <v>43446</v>
      </c>
      <c r="C350" t="s">
        <v>813</v>
      </c>
      <c r="D350" t="s">
        <v>13</v>
      </c>
      <c r="E350" s="12">
        <v>3</v>
      </c>
      <c r="F350" s="154">
        <v>59</v>
      </c>
    </row>
    <row r="351" spans="2:6" x14ac:dyDescent="0.35">
      <c r="B351" s="153">
        <v>43447</v>
      </c>
      <c r="C351" t="s">
        <v>812</v>
      </c>
      <c r="D351" t="s">
        <v>10</v>
      </c>
      <c r="E351" s="12">
        <v>5</v>
      </c>
      <c r="F351" s="154">
        <v>22</v>
      </c>
    </row>
    <row r="352" spans="2:6" x14ac:dyDescent="0.35">
      <c r="B352" s="153">
        <v>43448</v>
      </c>
      <c r="C352" t="s">
        <v>812</v>
      </c>
      <c r="D352" t="s">
        <v>15</v>
      </c>
      <c r="E352" s="12">
        <v>5</v>
      </c>
      <c r="F352" s="154">
        <v>50</v>
      </c>
    </row>
    <row r="353" spans="2:6" x14ac:dyDescent="0.35">
      <c r="B353" s="153">
        <v>43449</v>
      </c>
      <c r="C353" t="s">
        <v>813</v>
      </c>
      <c r="D353" t="s">
        <v>13</v>
      </c>
      <c r="E353" s="12">
        <v>2</v>
      </c>
      <c r="F353" s="154">
        <v>46</v>
      </c>
    </row>
    <row r="354" spans="2:6" x14ac:dyDescent="0.35">
      <c r="B354" s="153">
        <v>43450</v>
      </c>
      <c r="C354" t="s">
        <v>813</v>
      </c>
      <c r="D354" t="s">
        <v>15</v>
      </c>
      <c r="E354" s="12">
        <v>2</v>
      </c>
      <c r="F354" s="154">
        <v>56</v>
      </c>
    </row>
    <row r="355" spans="2:6" x14ac:dyDescent="0.35">
      <c r="B355" s="153">
        <v>43451</v>
      </c>
      <c r="C355" t="s">
        <v>813</v>
      </c>
      <c r="D355" t="s">
        <v>9</v>
      </c>
      <c r="E355" s="12">
        <v>1</v>
      </c>
      <c r="F355" s="154">
        <v>17</v>
      </c>
    </row>
    <row r="356" spans="2:6" x14ac:dyDescent="0.35">
      <c r="B356" s="153">
        <v>43452</v>
      </c>
      <c r="C356" t="s">
        <v>812</v>
      </c>
      <c r="D356" t="s">
        <v>12</v>
      </c>
      <c r="E356" s="12">
        <v>5</v>
      </c>
      <c r="F356" s="154">
        <v>38</v>
      </c>
    </row>
    <row r="357" spans="2:6" x14ac:dyDescent="0.35">
      <c r="B357" s="153">
        <v>43453</v>
      </c>
      <c r="C357" t="s">
        <v>812</v>
      </c>
      <c r="D357" t="s">
        <v>17</v>
      </c>
      <c r="E357" s="12">
        <v>5</v>
      </c>
      <c r="F357" s="154">
        <v>21</v>
      </c>
    </row>
    <row r="358" spans="2:6" x14ac:dyDescent="0.35">
      <c r="B358" s="153">
        <v>43454</v>
      </c>
      <c r="C358" t="s">
        <v>813</v>
      </c>
      <c r="D358" t="s">
        <v>13</v>
      </c>
      <c r="E358" s="12">
        <v>5</v>
      </c>
      <c r="F358" s="154">
        <v>33</v>
      </c>
    </row>
    <row r="359" spans="2:6" x14ac:dyDescent="0.35">
      <c r="B359" s="153">
        <v>43455</v>
      </c>
      <c r="C359" t="s">
        <v>812</v>
      </c>
      <c r="D359" t="s">
        <v>333</v>
      </c>
      <c r="E359" s="12">
        <v>3</v>
      </c>
      <c r="F359" s="154">
        <v>43</v>
      </c>
    </row>
    <row r="360" spans="2:6" x14ac:dyDescent="0.35">
      <c r="B360" s="153">
        <v>43456</v>
      </c>
      <c r="C360" t="s">
        <v>813</v>
      </c>
      <c r="D360" t="s">
        <v>9</v>
      </c>
      <c r="E360" s="12">
        <v>4</v>
      </c>
      <c r="F360" s="154">
        <v>65</v>
      </c>
    </row>
    <row r="361" spans="2:6" x14ac:dyDescent="0.35">
      <c r="B361" s="153">
        <v>43457</v>
      </c>
      <c r="C361" t="s">
        <v>812</v>
      </c>
      <c r="D361" t="s">
        <v>9</v>
      </c>
      <c r="E361" s="12">
        <v>2</v>
      </c>
      <c r="F361" s="154">
        <v>48</v>
      </c>
    </row>
    <row r="362" spans="2:6" x14ac:dyDescent="0.35">
      <c r="B362" s="153">
        <v>43458</v>
      </c>
      <c r="C362" t="s">
        <v>812</v>
      </c>
      <c r="D362" t="s">
        <v>17</v>
      </c>
      <c r="E362" s="12">
        <v>4</v>
      </c>
      <c r="F362" s="154">
        <v>43</v>
      </c>
    </row>
    <row r="363" spans="2:6" x14ac:dyDescent="0.35">
      <c r="B363" s="153">
        <v>43459</v>
      </c>
      <c r="C363" t="s">
        <v>813</v>
      </c>
      <c r="D363" t="s">
        <v>15</v>
      </c>
      <c r="E363" s="12">
        <v>5</v>
      </c>
      <c r="F363" s="154">
        <v>56</v>
      </c>
    </row>
    <row r="364" spans="2:6" x14ac:dyDescent="0.35">
      <c r="B364" s="153">
        <v>43460</v>
      </c>
      <c r="C364" t="s">
        <v>812</v>
      </c>
      <c r="D364" t="s">
        <v>12</v>
      </c>
      <c r="E364" s="12">
        <v>3</v>
      </c>
      <c r="F364" s="154">
        <v>68</v>
      </c>
    </row>
    <row r="365" spans="2:6" x14ac:dyDescent="0.35">
      <c r="B365" s="153">
        <v>43461</v>
      </c>
      <c r="C365" t="s">
        <v>812</v>
      </c>
      <c r="D365" t="s">
        <v>11</v>
      </c>
      <c r="E365" s="12">
        <v>2</v>
      </c>
      <c r="F365" s="154">
        <v>63</v>
      </c>
    </row>
    <row r="366" spans="2:6" x14ac:dyDescent="0.35">
      <c r="B366" s="153">
        <v>43462</v>
      </c>
      <c r="C366" t="s">
        <v>812</v>
      </c>
      <c r="D366" t="s">
        <v>11</v>
      </c>
      <c r="E366" s="12">
        <v>3</v>
      </c>
      <c r="F366" s="154">
        <v>39</v>
      </c>
    </row>
    <row r="367" spans="2:6" x14ac:dyDescent="0.35">
      <c r="B367" s="153">
        <v>43463</v>
      </c>
      <c r="C367" t="s">
        <v>812</v>
      </c>
      <c r="D367" t="s">
        <v>14</v>
      </c>
      <c r="E367" s="12">
        <v>2</v>
      </c>
      <c r="F367" s="154">
        <v>61</v>
      </c>
    </row>
    <row r="368" spans="2:6" x14ac:dyDescent="0.35">
      <c r="B368" s="153">
        <v>43464</v>
      </c>
      <c r="C368" t="s">
        <v>813</v>
      </c>
      <c r="D368" t="s">
        <v>10</v>
      </c>
      <c r="E368" s="12">
        <v>5</v>
      </c>
      <c r="F368" s="154">
        <v>35</v>
      </c>
    </row>
    <row r="369" spans="2:6" x14ac:dyDescent="0.35">
      <c r="B369" s="153">
        <v>43465</v>
      </c>
      <c r="C369" t="s">
        <v>813</v>
      </c>
      <c r="D369" t="s">
        <v>10</v>
      </c>
      <c r="E369" s="12">
        <v>3</v>
      </c>
      <c r="F369" s="154">
        <v>66</v>
      </c>
    </row>
    <row r="370" spans="2:6" x14ac:dyDescent="0.35">
      <c r="B370" s="153">
        <v>43466</v>
      </c>
      <c r="C370" t="s">
        <v>812</v>
      </c>
      <c r="D370" t="s">
        <v>16</v>
      </c>
      <c r="E370" s="12">
        <v>1</v>
      </c>
      <c r="F370" s="154">
        <v>26</v>
      </c>
    </row>
    <row r="371" spans="2:6" x14ac:dyDescent="0.35">
      <c r="B371" s="153">
        <v>43467</v>
      </c>
      <c r="C371" t="s">
        <v>813</v>
      </c>
      <c r="D371" t="s">
        <v>9</v>
      </c>
      <c r="E371" s="12">
        <v>5</v>
      </c>
      <c r="F371" s="154">
        <v>37</v>
      </c>
    </row>
    <row r="372" spans="2:6" x14ac:dyDescent="0.35">
      <c r="B372" s="153">
        <v>43468</v>
      </c>
      <c r="C372" t="s">
        <v>813</v>
      </c>
      <c r="D372" t="s">
        <v>10</v>
      </c>
      <c r="E372" s="12">
        <v>5</v>
      </c>
      <c r="F372" s="154">
        <v>38</v>
      </c>
    </row>
    <row r="373" spans="2:6" x14ac:dyDescent="0.35">
      <c r="B373" s="153">
        <v>43469</v>
      </c>
      <c r="C373" t="s">
        <v>813</v>
      </c>
      <c r="D373" t="s">
        <v>13</v>
      </c>
      <c r="E373" s="12">
        <v>4</v>
      </c>
      <c r="F373" s="154">
        <v>20</v>
      </c>
    </row>
    <row r="374" spans="2:6" x14ac:dyDescent="0.35">
      <c r="B374" s="153">
        <v>43470</v>
      </c>
      <c r="C374" t="s">
        <v>812</v>
      </c>
      <c r="D374" t="s">
        <v>16</v>
      </c>
      <c r="E374" s="12">
        <v>1</v>
      </c>
      <c r="F374" s="154">
        <v>39</v>
      </c>
    </row>
    <row r="375" spans="2:6" x14ac:dyDescent="0.35">
      <c r="B375" s="153">
        <v>43471</v>
      </c>
      <c r="C375" t="s">
        <v>812</v>
      </c>
      <c r="D375" t="s">
        <v>333</v>
      </c>
      <c r="E375" s="12">
        <v>3</v>
      </c>
      <c r="F375" s="154">
        <v>20</v>
      </c>
    </row>
    <row r="376" spans="2:6" x14ac:dyDescent="0.35">
      <c r="B376" s="153">
        <v>43472</v>
      </c>
      <c r="C376" t="s">
        <v>812</v>
      </c>
      <c r="D376" t="s">
        <v>14</v>
      </c>
      <c r="E376" s="12">
        <v>1</v>
      </c>
      <c r="F376" s="154">
        <v>27</v>
      </c>
    </row>
    <row r="377" spans="2:6" x14ac:dyDescent="0.35">
      <c r="B377" s="153">
        <v>43473</v>
      </c>
      <c r="C377" t="s">
        <v>813</v>
      </c>
      <c r="D377" t="s">
        <v>17</v>
      </c>
      <c r="E377" s="12">
        <v>3</v>
      </c>
      <c r="F377" s="154">
        <v>33</v>
      </c>
    </row>
    <row r="378" spans="2:6" x14ac:dyDescent="0.35">
      <c r="B378" s="153">
        <v>43474</v>
      </c>
      <c r="C378" t="s">
        <v>812</v>
      </c>
      <c r="D378" t="s">
        <v>13</v>
      </c>
      <c r="E378" s="12">
        <v>1</v>
      </c>
      <c r="F378" s="154">
        <v>50</v>
      </c>
    </row>
    <row r="379" spans="2:6" x14ac:dyDescent="0.35">
      <c r="B379" s="153">
        <v>43475</v>
      </c>
      <c r="C379" t="s">
        <v>812</v>
      </c>
      <c r="D379" t="s">
        <v>11</v>
      </c>
      <c r="E379" s="12">
        <v>5</v>
      </c>
      <c r="F379" s="154">
        <v>28</v>
      </c>
    </row>
    <row r="380" spans="2:6" x14ac:dyDescent="0.35">
      <c r="B380" s="153">
        <v>43476</v>
      </c>
      <c r="C380" t="s">
        <v>813</v>
      </c>
      <c r="D380" t="s">
        <v>13</v>
      </c>
      <c r="E380" s="12">
        <v>2</v>
      </c>
      <c r="F380" s="154">
        <v>69</v>
      </c>
    </row>
    <row r="381" spans="2:6" x14ac:dyDescent="0.35">
      <c r="B381" s="153">
        <v>43477</v>
      </c>
      <c r="C381" t="s">
        <v>812</v>
      </c>
      <c r="D381" t="s">
        <v>17</v>
      </c>
      <c r="E381" s="12">
        <v>3</v>
      </c>
      <c r="F381" s="154">
        <v>41</v>
      </c>
    </row>
    <row r="382" spans="2:6" x14ac:dyDescent="0.35">
      <c r="B382" s="153">
        <v>43478</v>
      </c>
      <c r="C382" t="s">
        <v>813</v>
      </c>
      <c r="D382" t="s">
        <v>15</v>
      </c>
      <c r="E382" s="12">
        <v>2</v>
      </c>
      <c r="F382" s="154">
        <v>32</v>
      </c>
    </row>
    <row r="383" spans="2:6" x14ac:dyDescent="0.35">
      <c r="B383" s="153">
        <v>43479</v>
      </c>
      <c r="C383" t="s">
        <v>813</v>
      </c>
      <c r="D383" t="s">
        <v>13</v>
      </c>
      <c r="E383" s="12">
        <v>4</v>
      </c>
      <c r="F383" s="154">
        <v>21</v>
      </c>
    </row>
    <row r="384" spans="2:6" x14ac:dyDescent="0.35">
      <c r="B384" s="153">
        <v>43480</v>
      </c>
      <c r="C384" t="s">
        <v>813</v>
      </c>
      <c r="D384" t="s">
        <v>333</v>
      </c>
      <c r="E384" s="12">
        <v>2</v>
      </c>
      <c r="F384" s="154">
        <v>48</v>
      </c>
    </row>
    <row r="385" spans="2:6" x14ac:dyDescent="0.35">
      <c r="B385" s="153">
        <v>43481</v>
      </c>
      <c r="C385" t="s">
        <v>812</v>
      </c>
      <c r="D385" t="s">
        <v>10</v>
      </c>
      <c r="E385" s="12">
        <v>3</v>
      </c>
      <c r="F385" s="154">
        <v>54</v>
      </c>
    </row>
    <row r="386" spans="2:6" x14ac:dyDescent="0.35">
      <c r="B386" s="153">
        <v>43482</v>
      </c>
      <c r="C386" t="s">
        <v>812</v>
      </c>
      <c r="D386" t="s">
        <v>17</v>
      </c>
      <c r="E386" s="12">
        <v>2</v>
      </c>
      <c r="F386" s="154">
        <v>59</v>
      </c>
    </row>
    <row r="387" spans="2:6" x14ac:dyDescent="0.35">
      <c r="B387" s="153">
        <v>43483</v>
      </c>
      <c r="C387" t="s">
        <v>812</v>
      </c>
      <c r="D387" t="s">
        <v>10</v>
      </c>
      <c r="E387" s="12">
        <v>4</v>
      </c>
      <c r="F387" s="154">
        <v>19</v>
      </c>
    </row>
    <row r="388" spans="2:6" x14ac:dyDescent="0.35">
      <c r="B388" s="153">
        <v>43484</v>
      </c>
      <c r="C388" t="s">
        <v>813</v>
      </c>
      <c r="D388" t="s">
        <v>9</v>
      </c>
      <c r="E388" s="12">
        <v>4</v>
      </c>
      <c r="F388" s="154">
        <v>64</v>
      </c>
    </row>
    <row r="389" spans="2:6" x14ac:dyDescent="0.35">
      <c r="B389" s="153">
        <v>43485</v>
      </c>
      <c r="C389" t="s">
        <v>813</v>
      </c>
      <c r="D389" t="s">
        <v>15</v>
      </c>
      <c r="E389" s="12">
        <v>5</v>
      </c>
      <c r="F389" s="154">
        <v>35</v>
      </c>
    </row>
    <row r="390" spans="2:6" x14ac:dyDescent="0.35">
      <c r="B390" s="153">
        <v>43486</v>
      </c>
      <c r="C390" t="s">
        <v>813</v>
      </c>
      <c r="D390" t="s">
        <v>14</v>
      </c>
      <c r="E390" s="12">
        <v>3</v>
      </c>
      <c r="F390" s="154">
        <v>65</v>
      </c>
    </row>
    <row r="391" spans="2:6" x14ac:dyDescent="0.35">
      <c r="B391" s="153">
        <v>43487</v>
      </c>
      <c r="C391" t="s">
        <v>812</v>
      </c>
      <c r="D391" t="s">
        <v>16</v>
      </c>
      <c r="E391" s="12">
        <v>1</v>
      </c>
      <c r="F391" s="154">
        <v>52</v>
      </c>
    </row>
    <row r="392" spans="2:6" x14ac:dyDescent="0.35">
      <c r="B392" s="153">
        <v>43488</v>
      </c>
      <c r="C392" t="s">
        <v>812</v>
      </c>
      <c r="D392" t="s">
        <v>13</v>
      </c>
      <c r="E392" s="12">
        <v>1</v>
      </c>
      <c r="F392" s="154">
        <v>19</v>
      </c>
    </row>
    <row r="393" spans="2:6" x14ac:dyDescent="0.35">
      <c r="B393" s="153">
        <v>43489</v>
      </c>
      <c r="C393" t="s">
        <v>812</v>
      </c>
      <c r="D393" t="s">
        <v>14</v>
      </c>
      <c r="E393" s="12">
        <v>4</v>
      </c>
      <c r="F393" s="154">
        <v>32</v>
      </c>
    </row>
    <row r="394" spans="2:6" x14ac:dyDescent="0.35">
      <c r="B394" s="153">
        <v>43490</v>
      </c>
      <c r="C394" t="s">
        <v>812</v>
      </c>
      <c r="D394" t="s">
        <v>333</v>
      </c>
      <c r="E394" s="12">
        <v>5</v>
      </c>
      <c r="F394" s="154">
        <v>29</v>
      </c>
    </row>
    <row r="395" spans="2:6" x14ac:dyDescent="0.35">
      <c r="B395" s="153">
        <v>43491</v>
      </c>
      <c r="C395" t="s">
        <v>813</v>
      </c>
      <c r="D395" t="s">
        <v>12</v>
      </c>
      <c r="E395" s="12">
        <v>1</v>
      </c>
      <c r="F395" s="154">
        <v>56</v>
      </c>
    </row>
    <row r="396" spans="2:6" x14ac:dyDescent="0.35">
      <c r="B396" s="153">
        <v>43492</v>
      </c>
      <c r="C396" t="s">
        <v>812</v>
      </c>
      <c r="D396" t="s">
        <v>12</v>
      </c>
      <c r="E396" s="12">
        <v>5</v>
      </c>
      <c r="F396" s="154">
        <v>58</v>
      </c>
    </row>
    <row r="397" spans="2:6" x14ac:dyDescent="0.35">
      <c r="B397" s="153">
        <v>43493</v>
      </c>
      <c r="C397" t="s">
        <v>813</v>
      </c>
      <c r="D397" t="s">
        <v>9</v>
      </c>
      <c r="E397" s="12">
        <v>2</v>
      </c>
      <c r="F397" s="154">
        <v>58</v>
      </c>
    </row>
    <row r="398" spans="2:6" x14ac:dyDescent="0.35">
      <c r="B398" s="153">
        <v>43494</v>
      </c>
      <c r="C398" t="s">
        <v>812</v>
      </c>
      <c r="D398" t="s">
        <v>12</v>
      </c>
      <c r="E398" s="12">
        <v>5</v>
      </c>
      <c r="F398" s="154">
        <v>69</v>
      </c>
    </row>
    <row r="399" spans="2:6" x14ac:dyDescent="0.35">
      <c r="B399" s="153">
        <v>43495</v>
      </c>
      <c r="C399" t="s">
        <v>813</v>
      </c>
      <c r="D399" t="s">
        <v>17</v>
      </c>
      <c r="E399" s="12">
        <v>2</v>
      </c>
      <c r="F399" s="154">
        <v>64</v>
      </c>
    </row>
    <row r="400" spans="2:6" x14ac:dyDescent="0.35">
      <c r="B400" s="153">
        <v>43496</v>
      </c>
      <c r="C400" t="s">
        <v>812</v>
      </c>
      <c r="D400" t="s">
        <v>333</v>
      </c>
      <c r="E400" s="12">
        <v>5</v>
      </c>
      <c r="F400" s="154">
        <v>70</v>
      </c>
    </row>
    <row r="401" spans="2:6" x14ac:dyDescent="0.35">
      <c r="B401" s="153">
        <v>43497</v>
      </c>
      <c r="C401" t="s">
        <v>812</v>
      </c>
      <c r="D401" t="s">
        <v>333</v>
      </c>
      <c r="E401" s="12">
        <v>3</v>
      </c>
      <c r="F401" s="154">
        <v>47</v>
      </c>
    </row>
    <row r="402" spans="2:6" x14ac:dyDescent="0.35">
      <c r="B402" s="153">
        <v>43498</v>
      </c>
      <c r="C402" t="s">
        <v>812</v>
      </c>
      <c r="D402" t="s">
        <v>11</v>
      </c>
      <c r="E402" s="12">
        <v>3</v>
      </c>
      <c r="F402" s="154">
        <v>59</v>
      </c>
    </row>
    <row r="403" spans="2:6" x14ac:dyDescent="0.35">
      <c r="B403" s="153">
        <v>43499</v>
      </c>
      <c r="C403" t="s">
        <v>813</v>
      </c>
      <c r="D403" t="s">
        <v>16</v>
      </c>
      <c r="E403" s="12">
        <v>2</v>
      </c>
      <c r="F403" s="154">
        <v>69</v>
      </c>
    </row>
    <row r="404" spans="2:6" x14ac:dyDescent="0.35">
      <c r="B404" s="153">
        <v>43500</v>
      </c>
      <c r="C404" t="s">
        <v>812</v>
      </c>
      <c r="D404" t="s">
        <v>333</v>
      </c>
      <c r="E404" s="12">
        <v>1</v>
      </c>
      <c r="F404" s="154">
        <v>68</v>
      </c>
    </row>
    <row r="405" spans="2:6" x14ac:dyDescent="0.35">
      <c r="B405" s="153">
        <v>43501</v>
      </c>
      <c r="C405" t="s">
        <v>813</v>
      </c>
      <c r="D405" t="s">
        <v>13</v>
      </c>
      <c r="E405" s="12">
        <v>1</v>
      </c>
      <c r="F405" s="154">
        <v>50</v>
      </c>
    </row>
    <row r="406" spans="2:6" x14ac:dyDescent="0.35">
      <c r="B406" s="153">
        <v>43502</v>
      </c>
      <c r="C406" t="s">
        <v>812</v>
      </c>
      <c r="D406" t="s">
        <v>12</v>
      </c>
      <c r="E406" s="12">
        <v>5</v>
      </c>
      <c r="F406" s="154">
        <v>18</v>
      </c>
    </row>
    <row r="407" spans="2:6" x14ac:dyDescent="0.35">
      <c r="B407" s="153">
        <v>43503</v>
      </c>
      <c r="C407" t="s">
        <v>813</v>
      </c>
      <c r="D407" t="s">
        <v>17</v>
      </c>
      <c r="E407" s="12">
        <v>1</v>
      </c>
      <c r="F407" s="154">
        <v>24</v>
      </c>
    </row>
    <row r="408" spans="2:6" x14ac:dyDescent="0.35">
      <c r="B408" s="153">
        <v>43504</v>
      </c>
      <c r="C408" t="s">
        <v>813</v>
      </c>
      <c r="D408" t="s">
        <v>11</v>
      </c>
      <c r="E408" s="12">
        <v>1</v>
      </c>
      <c r="F408" s="154">
        <v>52</v>
      </c>
    </row>
    <row r="409" spans="2:6" x14ac:dyDescent="0.35">
      <c r="B409" s="153">
        <v>43505</v>
      </c>
      <c r="C409" t="s">
        <v>812</v>
      </c>
      <c r="D409" t="s">
        <v>11</v>
      </c>
      <c r="E409" s="12">
        <v>4</v>
      </c>
      <c r="F409" s="154">
        <v>61</v>
      </c>
    </row>
    <row r="410" spans="2:6" x14ac:dyDescent="0.35">
      <c r="B410" s="153">
        <v>43506</v>
      </c>
      <c r="C410" t="s">
        <v>812</v>
      </c>
      <c r="D410" t="s">
        <v>10</v>
      </c>
      <c r="E410" s="12">
        <v>1</v>
      </c>
      <c r="F410" s="154">
        <v>66</v>
      </c>
    </row>
    <row r="411" spans="2:6" x14ac:dyDescent="0.35">
      <c r="B411" s="153">
        <v>43507</v>
      </c>
      <c r="C411" t="s">
        <v>812</v>
      </c>
      <c r="D411" t="s">
        <v>13</v>
      </c>
      <c r="E411" s="12">
        <v>4</v>
      </c>
      <c r="F411" s="154">
        <v>48</v>
      </c>
    </row>
    <row r="412" spans="2:6" x14ac:dyDescent="0.35">
      <c r="B412" s="153">
        <v>43508</v>
      </c>
      <c r="C412" t="s">
        <v>812</v>
      </c>
      <c r="D412" t="s">
        <v>16</v>
      </c>
      <c r="E412" s="12">
        <v>3</v>
      </c>
      <c r="F412" s="154">
        <v>46</v>
      </c>
    </row>
    <row r="413" spans="2:6" x14ac:dyDescent="0.35">
      <c r="B413" s="153">
        <v>43509</v>
      </c>
      <c r="C413" t="s">
        <v>813</v>
      </c>
      <c r="D413" t="s">
        <v>333</v>
      </c>
      <c r="E413" s="12">
        <v>2</v>
      </c>
      <c r="F413" s="154">
        <v>70</v>
      </c>
    </row>
    <row r="414" spans="2:6" x14ac:dyDescent="0.35">
      <c r="B414" s="153">
        <v>43510</v>
      </c>
      <c r="C414" t="s">
        <v>812</v>
      </c>
      <c r="D414" t="s">
        <v>13</v>
      </c>
      <c r="E414" s="12">
        <v>5</v>
      </c>
      <c r="F414" s="154">
        <v>38</v>
      </c>
    </row>
    <row r="415" spans="2:6" x14ac:dyDescent="0.35">
      <c r="B415" s="153">
        <v>43511</v>
      </c>
      <c r="C415" t="s">
        <v>813</v>
      </c>
      <c r="D415" t="s">
        <v>10</v>
      </c>
      <c r="E415" s="12">
        <v>4</v>
      </c>
      <c r="F415" s="154">
        <v>22</v>
      </c>
    </row>
    <row r="416" spans="2:6" x14ac:dyDescent="0.35">
      <c r="B416" s="153">
        <v>43512</v>
      </c>
      <c r="C416" t="s">
        <v>813</v>
      </c>
      <c r="D416" t="s">
        <v>14</v>
      </c>
      <c r="E416" s="12">
        <v>3</v>
      </c>
      <c r="F416" s="154">
        <v>20</v>
      </c>
    </row>
    <row r="417" spans="2:6" x14ac:dyDescent="0.35">
      <c r="B417" s="153">
        <v>43513</v>
      </c>
      <c r="C417" t="s">
        <v>813</v>
      </c>
      <c r="D417" t="s">
        <v>15</v>
      </c>
      <c r="E417" s="12">
        <v>2</v>
      </c>
      <c r="F417" s="154">
        <v>30</v>
      </c>
    </row>
    <row r="418" spans="2:6" x14ac:dyDescent="0.35">
      <c r="B418" s="153">
        <v>43514</v>
      </c>
      <c r="C418" t="s">
        <v>812</v>
      </c>
      <c r="D418" t="s">
        <v>333</v>
      </c>
      <c r="E418" s="12">
        <v>3</v>
      </c>
      <c r="F418" s="154">
        <v>23</v>
      </c>
    </row>
    <row r="419" spans="2:6" x14ac:dyDescent="0.35">
      <c r="B419" s="153">
        <v>43515</v>
      </c>
      <c r="C419" t="s">
        <v>812</v>
      </c>
      <c r="D419" t="s">
        <v>16</v>
      </c>
      <c r="E419" s="12">
        <v>2</v>
      </c>
      <c r="F419" s="154">
        <v>45</v>
      </c>
    </row>
    <row r="420" spans="2:6" x14ac:dyDescent="0.35">
      <c r="B420" s="153">
        <v>43516</v>
      </c>
      <c r="C420" t="s">
        <v>813</v>
      </c>
      <c r="D420" t="s">
        <v>9</v>
      </c>
      <c r="E420" s="12">
        <v>3</v>
      </c>
      <c r="F420" s="154">
        <v>38</v>
      </c>
    </row>
    <row r="421" spans="2:6" x14ac:dyDescent="0.35">
      <c r="B421" s="153">
        <v>43517</v>
      </c>
      <c r="C421" t="s">
        <v>813</v>
      </c>
      <c r="D421" t="s">
        <v>14</v>
      </c>
      <c r="E421" s="12">
        <v>3</v>
      </c>
      <c r="F421" s="154">
        <v>38</v>
      </c>
    </row>
    <row r="422" spans="2:6" x14ac:dyDescent="0.35">
      <c r="B422" s="153">
        <v>43518</v>
      </c>
      <c r="C422" t="s">
        <v>812</v>
      </c>
      <c r="D422" t="s">
        <v>15</v>
      </c>
      <c r="E422" s="12">
        <v>4</v>
      </c>
      <c r="F422" s="154">
        <v>18</v>
      </c>
    </row>
    <row r="423" spans="2:6" x14ac:dyDescent="0.35">
      <c r="B423" s="153">
        <v>43519</v>
      </c>
      <c r="C423" t="s">
        <v>813</v>
      </c>
      <c r="D423" t="s">
        <v>11</v>
      </c>
      <c r="E423" s="12">
        <v>4</v>
      </c>
      <c r="F423" s="154">
        <v>59</v>
      </c>
    </row>
    <row r="424" spans="2:6" x14ac:dyDescent="0.35">
      <c r="B424" s="153">
        <v>43520</v>
      </c>
      <c r="C424" t="s">
        <v>813</v>
      </c>
      <c r="D424" t="s">
        <v>9</v>
      </c>
      <c r="E424" s="12">
        <v>4</v>
      </c>
      <c r="F424" s="154">
        <v>58</v>
      </c>
    </row>
    <row r="425" spans="2:6" x14ac:dyDescent="0.35">
      <c r="B425" s="153">
        <v>43521</v>
      </c>
      <c r="C425" t="s">
        <v>813</v>
      </c>
      <c r="D425" t="s">
        <v>333</v>
      </c>
      <c r="E425" s="12">
        <v>5</v>
      </c>
      <c r="F425" s="154">
        <v>42</v>
      </c>
    </row>
    <row r="426" spans="2:6" x14ac:dyDescent="0.35">
      <c r="B426" s="153">
        <v>43522</v>
      </c>
      <c r="C426" t="s">
        <v>812</v>
      </c>
      <c r="D426" t="s">
        <v>16</v>
      </c>
      <c r="E426" s="12">
        <v>5</v>
      </c>
      <c r="F426" s="154">
        <v>23</v>
      </c>
    </row>
    <row r="427" spans="2:6" x14ac:dyDescent="0.35">
      <c r="B427" s="153">
        <v>43523</v>
      </c>
      <c r="C427" t="s">
        <v>813</v>
      </c>
      <c r="D427" t="s">
        <v>10</v>
      </c>
      <c r="E427" s="12">
        <v>5</v>
      </c>
      <c r="F427" s="154">
        <v>52</v>
      </c>
    </row>
    <row r="428" spans="2:6" x14ac:dyDescent="0.35">
      <c r="B428" s="153">
        <v>43524</v>
      </c>
      <c r="C428" t="s">
        <v>812</v>
      </c>
      <c r="D428" t="s">
        <v>9</v>
      </c>
      <c r="E428" s="12">
        <v>2</v>
      </c>
      <c r="F428" s="154">
        <v>68</v>
      </c>
    </row>
    <row r="429" spans="2:6" x14ac:dyDescent="0.35">
      <c r="B429" s="153">
        <v>43525</v>
      </c>
      <c r="C429" t="s">
        <v>812</v>
      </c>
      <c r="D429" t="s">
        <v>9</v>
      </c>
      <c r="E429" s="12">
        <v>3</v>
      </c>
      <c r="F429" s="154">
        <v>49</v>
      </c>
    </row>
    <row r="430" spans="2:6" x14ac:dyDescent="0.35">
      <c r="B430" s="153">
        <v>43526</v>
      </c>
      <c r="C430" t="s">
        <v>812</v>
      </c>
      <c r="D430" t="s">
        <v>13</v>
      </c>
      <c r="E430" s="12">
        <v>3</v>
      </c>
      <c r="F430" s="154">
        <v>34</v>
      </c>
    </row>
    <row r="431" spans="2:6" x14ac:dyDescent="0.35">
      <c r="B431" s="153">
        <v>43527</v>
      </c>
      <c r="C431" t="s">
        <v>813</v>
      </c>
      <c r="D431" t="s">
        <v>11</v>
      </c>
      <c r="E431" s="12">
        <v>4</v>
      </c>
      <c r="F431" s="154">
        <v>62</v>
      </c>
    </row>
    <row r="432" spans="2:6" x14ac:dyDescent="0.35">
      <c r="B432" s="153">
        <v>43528</v>
      </c>
      <c r="C432" t="s">
        <v>812</v>
      </c>
      <c r="D432" t="s">
        <v>15</v>
      </c>
      <c r="E432" s="12">
        <v>3</v>
      </c>
      <c r="F432" s="154">
        <v>40</v>
      </c>
    </row>
    <row r="433" spans="2:6" x14ac:dyDescent="0.35">
      <c r="B433" s="153">
        <v>43529</v>
      </c>
      <c r="C433" t="s">
        <v>813</v>
      </c>
      <c r="D433" t="s">
        <v>17</v>
      </c>
      <c r="E433" s="12">
        <v>1</v>
      </c>
      <c r="F433" s="154">
        <v>45</v>
      </c>
    </row>
    <row r="434" spans="2:6" x14ac:dyDescent="0.35">
      <c r="B434" s="153">
        <v>43530</v>
      </c>
      <c r="C434" t="s">
        <v>813</v>
      </c>
      <c r="D434" t="s">
        <v>333</v>
      </c>
      <c r="E434" s="12">
        <v>3</v>
      </c>
      <c r="F434" s="154">
        <v>56</v>
      </c>
    </row>
    <row r="435" spans="2:6" x14ac:dyDescent="0.35">
      <c r="B435" s="153">
        <v>43531</v>
      </c>
      <c r="C435" t="s">
        <v>812</v>
      </c>
      <c r="D435" t="s">
        <v>12</v>
      </c>
      <c r="E435" s="12">
        <v>1</v>
      </c>
      <c r="F435" s="154">
        <v>21</v>
      </c>
    </row>
    <row r="436" spans="2:6" x14ac:dyDescent="0.35">
      <c r="B436" s="153">
        <v>43532</v>
      </c>
      <c r="C436" t="s">
        <v>813</v>
      </c>
      <c r="D436" t="s">
        <v>13</v>
      </c>
      <c r="E436" s="12">
        <v>3</v>
      </c>
      <c r="F436" s="154">
        <v>56</v>
      </c>
    </row>
    <row r="437" spans="2:6" x14ac:dyDescent="0.35">
      <c r="B437" s="153">
        <v>43533</v>
      </c>
      <c r="C437" t="s">
        <v>812</v>
      </c>
      <c r="D437" t="s">
        <v>10</v>
      </c>
      <c r="E437" s="12">
        <v>3</v>
      </c>
      <c r="F437" s="154">
        <v>37</v>
      </c>
    </row>
    <row r="438" spans="2:6" x14ac:dyDescent="0.35">
      <c r="B438" s="153">
        <v>43534</v>
      </c>
      <c r="C438" t="s">
        <v>812</v>
      </c>
      <c r="D438" t="s">
        <v>12</v>
      </c>
      <c r="E438" s="12">
        <v>5</v>
      </c>
      <c r="F438" s="154">
        <v>51</v>
      </c>
    </row>
    <row r="439" spans="2:6" x14ac:dyDescent="0.35">
      <c r="B439" s="153">
        <v>43535</v>
      </c>
      <c r="C439" t="s">
        <v>813</v>
      </c>
      <c r="D439" t="s">
        <v>333</v>
      </c>
      <c r="E439" s="12">
        <v>1</v>
      </c>
      <c r="F439" s="154">
        <v>28</v>
      </c>
    </row>
    <row r="440" spans="2:6" x14ac:dyDescent="0.35">
      <c r="B440" s="153">
        <v>43536</v>
      </c>
      <c r="C440" t="s">
        <v>813</v>
      </c>
      <c r="D440" t="s">
        <v>12</v>
      </c>
      <c r="E440" s="12">
        <v>1</v>
      </c>
      <c r="F440" s="154">
        <v>23</v>
      </c>
    </row>
    <row r="441" spans="2:6" x14ac:dyDescent="0.35">
      <c r="B441" s="153">
        <v>43537</v>
      </c>
      <c r="C441" t="s">
        <v>813</v>
      </c>
      <c r="D441" t="s">
        <v>14</v>
      </c>
      <c r="E441" s="12">
        <v>4</v>
      </c>
      <c r="F441" s="154">
        <v>16</v>
      </c>
    </row>
    <row r="442" spans="2:6" x14ac:dyDescent="0.35">
      <c r="B442" s="153">
        <v>43538</v>
      </c>
      <c r="C442" t="s">
        <v>813</v>
      </c>
      <c r="D442" t="s">
        <v>17</v>
      </c>
      <c r="E442" s="12">
        <v>3</v>
      </c>
      <c r="F442" s="154">
        <v>17</v>
      </c>
    </row>
    <row r="443" spans="2:6" x14ac:dyDescent="0.35">
      <c r="B443" s="153">
        <v>43539</v>
      </c>
      <c r="C443" t="s">
        <v>813</v>
      </c>
      <c r="D443" t="s">
        <v>16</v>
      </c>
      <c r="E443" s="12">
        <v>2</v>
      </c>
      <c r="F443" s="154">
        <v>24</v>
      </c>
    </row>
    <row r="444" spans="2:6" x14ac:dyDescent="0.35">
      <c r="B444" s="153">
        <v>43540</v>
      </c>
      <c r="C444" t="s">
        <v>812</v>
      </c>
      <c r="D444" t="s">
        <v>16</v>
      </c>
      <c r="E444" s="12">
        <v>1</v>
      </c>
      <c r="F444" s="154">
        <v>49</v>
      </c>
    </row>
    <row r="445" spans="2:6" x14ac:dyDescent="0.35">
      <c r="B445" s="153">
        <v>43541</v>
      </c>
      <c r="C445" t="s">
        <v>812</v>
      </c>
      <c r="D445" t="s">
        <v>16</v>
      </c>
      <c r="E445" s="12">
        <v>4</v>
      </c>
      <c r="F445" s="154">
        <v>38</v>
      </c>
    </row>
    <row r="446" spans="2:6" x14ac:dyDescent="0.35">
      <c r="B446" s="153">
        <v>43542</v>
      </c>
      <c r="C446" t="s">
        <v>813</v>
      </c>
      <c r="D446" t="s">
        <v>14</v>
      </c>
      <c r="E446" s="12">
        <v>1</v>
      </c>
      <c r="F446" s="154">
        <v>36</v>
      </c>
    </row>
    <row r="447" spans="2:6" x14ac:dyDescent="0.35">
      <c r="B447" s="153">
        <v>43543</v>
      </c>
      <c r="C447" t="s">
        <v>813</v>
      </c>
      <c r="D447" t="s">
        <v>10</v>
      </c>
      <c r="E447" s="12">
        <v>1</v>
      </c>
      <c r="F447" s="154">
        <v>30</v>
      </c>
    </row>
    <row r="448" spans="2:6" x14ac:dyDescent="0.35">
      <c r="B448" s="153">
        <v>43544</v>
      </c>
      <c r="C448" t="s">
        <v>813</v>
      </c>
      <c r="D448" t="s">
        <v>333</v>
      </c>
      <c r="E448" s="12">
        <v>2</v>
      </c>
      <c r="F448" s="154">
        <v>44</v>
      </c>
    </row>
    <row r="449" spans="2:6" x14ac:dyDescent="0.35">
      <c r="B449" s="153">
        <v>43545</v>
      </c>
      <c r="C449" t="s">
        <v>812</v>
      </c>
      <c r="D449" t="s">
        <v>15</v>
      </c>
      <c r="E449" s="12">
        <v>5</v>
      </c>
      <c r="F449" s="154">
        <v>15</v>
      </c>
    </row>
    <row r="450" spans="2:6" x14ac:dyDescent="0.35">
      <c r="B450" s="153">
        <v>43546</v>
      </c>
      <c r="C450" t="s">
        <v>812</v>
      </c>
      <c r="D450" t="s">
        <v>12</v>
      </c>
      <c r="E450" s="12">
        <v>2</v>
      </c>
      <c r="F450" s="154">
        <v>38</v>
      </c>
    </row>
    <row r="451" spans="2:6" x14ac:dyDescent="0.35">
      <c r="B451" s="153">
        <v>43547</v>
      </c>
      <c r="C451" t="s">
        <v>812</v>
      </c>
      <c r="D451" t="s">
        <v>333</v>
      </c>
      <c r="E451" s="12">
        <v>4</v>
      </c>
      <c r="F451" s="154">
        <v>32</v>
      </c>
    </row>
    <row r="452" spans="2:6" x14ac:dyDescent="0.35">
      <c r="B452" s="153">
        <v>43548</v>
      </c>
      <c r="C452" t="s">
        <v>812</v>
      </c>
      <c r="D452" t="s">
        <v>14</v>
      </c>
      <c r="E452" s="12">
        <v>4</v>
      </c>
      <c r="F452" s="154">
        <v>28</v>
      </c>
    </row>
    <row r="453" spans="2:6" x14ac:dyDescent="0.35">
      <c r="B453" s="153">
        <v>43549</v>
      </c>
      <c r="C453" t="s">
        <v>812</v>
      </c>
      <c r="D453" t="s">
        <v>333</v>
      </c>
      <c r="E453" s="12">
        <v>1</v>
      </c>
      <c r="F453" s="154">
        <v>40</v>
      </c>
    </row>
    <row r="454" spans="2:6" x14ac:dyDescent="0.35">
      <c r="B454" s="153">
        <v>43550</v>
      </c>
      <c r="C454" t="s">
        <v>812</v>
      </c>
      <c r="D454" t="s">
        <v>12</v>
      </c>
      <c r="E454" s="12">
        <v>1</v>
      </c>
      <c r="F454" s="154">
        <v>52</v>
      </c>
    </row>
    <row r="455" spans="2:6" x14ac:dyDescent="0.35">
      <c r="B455" s="153">
        <v>43551</v>
      </c>
      <c r="C455" t="s">
        <v>813</v>
      </c>
      <c r="D455" t="s">
        <v>12</v>
      </c>
      <c r="E455" s="12">
        <v>4</v>
      </c>
      <c r="F455" s="154">
        <v>65</v>
      </c>
    </row>
    <row r="456" spans="2:6" x14ac:dyDescent="0.35">
      <c r="B456" s="153">
        <v>43552</v>
      </c>
      <c r="C456" t="s">
        <v>812</v>
      </c>
      <c r="D456" t="s">
        <v>13</v>
      </c>
      <c r="E456" s="12">
        <v>5</v>
      </c>
      <c r="F456" s="154">
        <v>29</v>
      </c>
    </row>
    <row r="457" spans="2:6" x14ac:dyDescent="0.35">
      <c r="B457" s="153">
        <v>43553</v>
      </c>
      <c r="C457" t="s">
        <v>813</v>
      </c>
      <c r="D457" t="s">
        <v>10</v>
      </c>
      <c r="E457" s="12">
        <v>3</v>
      </c>
      <c r="F457" s="154">
        <v>20</v>
      </c>
    </row>
    <row r="458" spans="2:6" x14ac:dyDescent="0.35">
      <c r="B458" s="153">
        <v>43554</v>
      </c>
      <c r="C458" t="s">
        <v>812</v>
      </c>
      <c r="D458" t="s">
        <v>14</v>
      </c>
      <c r="E458" s="12">
        <v>1</v>
      </c>
      <c r="F458" s="154">
        <v>22</v>
      </c>
    </row>
    <row r="459" spans="2:6" x14ac:dyDescent="0.35">
      <c r="B459" s="153">
        <v>43555</v>
      </c>
      <c r="C459" t="s">
        <v>812</v>
      </c>
      <c r="D459" t="s">
        <v>9</v>
      </c>
      <c r="E459" s="12">
        <v>3</v>
      </c>
      <c r="F459" s="154">
        <v>15</v>
      </c>
    </row>
    <row r="460" spans="2:6" x14ac:dyDescent="0.35">
      <c r="B460" s="153">
        <v>43556</v>
      </c>
      <c r="C460" t="s">
        <v>812</v>
      </c>
      <c r="D460" t="s">
        <v>12</v>
      </c>
      <c r="E460" s="12">
        <v>5</v>
      </c>
      <c r="F460" s="154">
        <v>16</v>
      </c>
    </row>
    <row r="461" spans="2:6" x14ac:dyDescent="0.35">
      <c r="B461" s="153">
        <v>43557</v>
      </c>
      <c r="C461" t="s">
        <v>812</v>
      </c>
      <c r="D461" t="s">
        <v>13</v>
      </c>
      <c r="E461" s="12">
        <v>5</v>
      </c>
      <c r="F461" s="154">
        <v>47</v>
      </c>
    </row>
    <row r="462" spans="2:6" x14ac:dyDescent="0.35">
      <c r="B462" s="153">
        <v>43558</v>
      </c>
      <c r="C462" t="s">
        <v>813</v>
      </c>
      <c r="D462" t="s">
        <v>9</v>
      </c>
      <c r="E462" s="12">
        <v>2</v>
      </c>
      <c r="F462" s="154">
        <v>50</v>
      </c>
    </row>
    <row r="463" spans="2:6" x14ac:dyDescent="0.35">
      <c r="B463" s="153">
        <v>43559</v>
      </c>
      <c r="C463" t="s">
        <v>812</v>
      </c>
      <c r="D463" t="s">
        <v>13</v>
      </c>
      <c r="E463" s="12">
        <v>1</v>
      </c>
      <c r="F463" s="154">
        <v>15</v>
      </c>
    </row>
    <row r="464" spans="2:6" x14ac:dyDescent="0.35">
      <c r="B464" s="153">
        <v>43560</v>
      </c>
      <c r="C464" t="s">
        <v>813</v>
      </c>
      <c r="D464" t="s">
        <v>14</v>
      </c>
      <c r="E464" s="12">
        <v>4</v>
      </c>
      <c r="F464" s="154">
        <v>69</v>
      </c>
    </row>
    <row r="465" spans="2:6" x14ac:dyDescent="0.35">
      <c r="B465" s="153">
        <v>43561</v>
      </c>
      <c r="C465" t="s">
        <v>813</v>
      </c>
      <c r="D465" t="s">
        <v>12</v>
      </c>
      <c r="E465" s="12">
        <v>2</v>
      </c>
      <c r="F465" s="154">
        <v>51</v>
      </c>
    </row>
    <row r="466" spans="2:6" x14ac:dyDescent="0.35">
      <c r="B466" s="153">
        <v>43562</v>
      </c>
      <c r="C466" t="s">
        <v>812</v>
      </c>
      <c r="D466" t="s">
        <v>17</v>
      </c>
      <c r="E466" s="12">
        <v>1</v>
      </c>
      <c r="F466" s="154">
        <v>58</v>
      </c>
    </row>
    <row r="467" spans="2:6" x14ac:dyDescent="0.35">
      <c r="B467" s="153">
        <v>43563</v>
      </c>
      <c r="C467" t="s">
        <v>812</v>
      </c>
      <c r="D467" t="s">
        <v>333</v>
      </c>
      <c r="E467" s="12">
        <v>3</v>
      </c>
      <c r="F467" s="154">
        <v>50</v>
      </c>
    </row>
    <row r="468" spans="2:6" x14ac:dyDescent="0.35">
      <c r="B468" s="153">
        <v>43564</v>
      </c>
      <c r="C468" t="s">
        <v>813</v>
      </c>
      <c r="D468" t="s">
        <v>14</v>
      </c>
      <c r="E468" s="12">
        <v>5</v>
      </c>
      <c r="F468" s="154">
        <v>64</v>
      </c>
    </row>
    <row r="469" spans="2:6" x14ac:dyDescent="0.35">
      <c r="B469" s="153">
        <v>43565</v>
      </c>
      <c r="C469" t="s">
        <v>813</v>
      </c>
      <c r="D469" t="s">
        <v>333</v>
      </c>
      <c r="E469" s="12">
        <v>5</v>
      </c>
      <c r="F469" s="154">
        <v>25</v>
      </c>
    </row>
    <row r="470" spans="2:6" x14ac:dyDescent="0.35">
      <c r="B470" s="153">
        <v>43566</v>
      </c>
      <c r="C470" t="s">
        <v>812</v>
      </c>
      <c r="D470" t="s">
        <v>15</v>
      </c>
      <c r="E470" s="12">
        <v>3</v>
      </c>
      <c r="F470" s="154">
        <v>61</v>
      </c>
    </row>
    <row r="471" spans="2:6" x14ac:dyDescent="0.35">
      <c r="B471" s="153">
        <v>43567</v>
      </c>
      <c r="C471" t="s">
        <v>813</v>
      </c>
      <c r="D471" t="s">
        <v>12</v>
      </c>
      <c r="E471" s="12">
        <v>1</v>
      </c>
      <c r="F471" s="154">
        <v>30</v>
      </c>
    </row>
    <row r="472" spans="2:6" x14ac:dyDescent="0.35">
      <c r="B472" s="153">
        <v>43568</v>
      </c>
      <c r="C472" t="s">
        <v>812</v>
      </c>
      <c r="D472" t="s">
        <v>14</v>
      </c>
      <c r="E472" s="12">
        <v>3</v>
      </c>
      <c r="F472" s="154">
        <v>68</v>
      </c>
    </row>
    <row r="473" spans="2:6" x14ac:dyDescent="0.35">
      <c r="B473" s="153">
        <v>43569</v>
      </c>
      <c r="C473" t="s">
        <v>813</v>
      </c>
      <c r="D473" t="s">
        <v>333</v>
      </c>
      <c r="E473" s="12">
        <v>2</v>
      </c>
      <c r="F473" s="154">
        <v>38</v>
      </c>
    </row>
    <row r="474" spans="2:6" x14ac:dyDescent="0.35">
      <c r="B474" s="153">
        <v>43570</v>
      </c>
      <c r="C474" t="s">
        <v>813</v>
      </c>
      <c r="D474" t="s">
        <v>16</v>
      </c>
      <c r="E474" s="12">
        <v>1</v>
      </c>
      <c r="F474" s="154">
        <v>15</v>
      </c>
    </row>
    <row r="475" spans="2:6" x14ac:dyDescent="0.35">
      <c r="B475" s="153">
        <v>43571</v>
      </c>
      <c r="C475" t="s">
        <v>812</v>
      </c>
      <c r="D475" t="s">
        <v>15</v>
      </c>
      <c r="E475" s="12">
        <v>2</v>
      </c>
      <c r="F475" s="154">
        <v>50</v>
      </c>
    </row>
    <row r="476" spans="2:6" x14ac:dyDescent="0.35">
      <c r="B476" s="153">
        <v>43572</v>
      </c>
      <c r="C476" t="s">
        <v>812</v>
      </c>
      <c r="D476" t="s">
        <v>15</v>
      </c>
      <c r="E476" s="12">
        <v>5</v>
      </c>
      <c r="F476" s="154">
        <v>34</v>
      </c>
    </row>
    <row r="477" spans="2:6" x14ac:dyDescent="0.35">
      <c r="B477" s="153">
        <v>43573</v>
      </c>
      <c r="C477" t="s">
        <v>812</v>
      </c>
      <c r="D477" t="s">
        <v>12</v>
      </c>
      <c r="E477" s="12">
        <v>3</v>
      </c>
      <c r="F477" s="154">
        <v>29</v>
      </c>
    </row>
    <row r="478" spans="2:6" x14ac:dyDescent="0.35">
      <c r="B478" s="153">
        <v>43574</v>
      </c>
      <c r="C478" t="s">
        <v>812</v>
      </c>
      <c r="D478" t="s">
        <v>15</v>
      </c>
      <c r="E478" s="12">
        <v>1</v>
      </c>
      <c r="F478" s="154">
        <v>23</v>
      </c>
    </row>
    <row r="479" spans="2:6" x14ac:dyDescent="0.35">
      <c r="B479" s="153">
        <v>43575</v>
      </c>
      <c r="C479" t="s">
        <v>813</v>
      </c>
      <c r="D479" t="s">
        <v>17</v>
      </c>
      <c r="E479" s="12">
        <v>5</v>
      </c>
      <c r="F479" s="154">
        <v>48</v>
      </c>
    </row>
    <row r="480" spans="2:6" x14ac:dyDescent="0.35">
      <c r="B480" s="153">
        <v>43576</v>
      </c>
      <c r="C480" t="s">
        <v>813</v>
      </c>
      <c r="D480" t="s">
        <v>11</v>
      </c>
      <c r="E480" s="12">
        <v>1</v>
      </c>
      <c r="F480" s="154">
        <v>49</v>
      </c>
    </row>
    <row r="481" spans="2:6" x14ac:dyDescent="0.35">
      <c r="B481" s="153">
        <v>43577</v>
      </c>
      <c r="C481" t="s">
        <v>812</v>
      </c>
      <c r="D481" t="s">
        <v>12</v>
      </c>
      <c r="E481" s="12">
        <v>5</v>
      </c>
      <c r="F481" s="154">
        <v>68</v>
      </c>
    </row>
    <row r="482" spans="2:6" x14ac:dyDescent="0.35">
      <c r="B482" s="153">
        <v>43578</v>
      </c>
      <c r="C482" t="s">
        <v>812</v>
      </c>
      <c r="D482" t="s">
        <v>10</v>
      </c>
      <c r="E482" s="12">
        <v>1</v>
      </c>
      <c r="F482" s="154">
        <v>59</v>
      </c>
    </row>
    <row r="483" spans="2:6" x14ac:dyDescent="0.35">
      <c r="B483" s="153">
        <v>43579</v>
      </c>
      <c r="C483" t="s">
        <v>813</v>
      </c>
      <c r="D483" t="s">
        <v>16</v>
      </c>
      <c r="E483" s="12">
        <v>2</v>
      </c>
      <c r="F483" s="154">
        <v>36</v>
      </c>
    </row>
    <row r="484" spans="2:6" x14ac:dyDescent="0.35">
      <c r="B484" s="153">
        <v>43580</v>
      </c>
      <c r="C484" t="s">
        <v>812</v>
      </c>
      <c r="D484" t="s">
        <v>17</v>
      </c>
      <c r="E484" s="12">
        <v>1</v>
      </c>
      <c r="F484" s="154">
        <v>16</v>
      </c>
    </row>
    <row r="485" spans="2:6" x14ac:dyDescent="0.35">
      <c r="B485" s="153">
        <v>43581</v>
      </c>
      <c r="C485" t="s">
        <v>812</v>
      </c>
      <c r="D485" t="s">
        <v>11</v>
      </c>
      <c r="E485" s="12">
        <v>1</v>
      </c>
      <c r="F485" s="154">
        <v>31</v>
      </c>
    </row>
    <row r="486" spans="2:6" x14ac:dyDescent="0.35">
      <c r="B486" s="153">
        <v>43582</v>
      </c>
      <c r="C486" t="s">
        <v>813</v>
      </c>
      <c r="D486" t="s">
        <v>10</v>
      </c>
      <c r="E486" s="12">
        <v>5</v>
      </c>
      <c r="F486" s="154">
        <v>45</v>
      </c>
    </row>
    <row r="487" spans="2:6" x14ac:dyDescent="0.35">
      <c r="B487" s="153">
        <v>43583</v>
      </c>
      <c r="C487" t="s">
        <v>813</v>
      </c>
      <c r="D487" t="s">
        <v>13</v>
      </c>
      <c r="E487" s="12">
        <v>4</v>
      </c>
      <c r="F487" s="154">
        <v>15</v>
      </c>
    </row>
    <row r="488" spans="2:6" x14ac:dyDescent="0.35">
      <c r="B488" s="153">
        <v>43584</v>
      </c>
      <c r="C488" t="s">
        <v>813</v>
      </c>
      <c r="D488" t="s">
        <v>15</v>
      </c>
      <c r="E488" s="12">
        <v>5</v>
      </c>
      <c r="F488" s="154">
        <v>67</v>
      </c>
    </row>
    <row r="489" spans="2:6" x14ac:dyDescent="0.35">
      <c r="B489" s="153">
        <v>43585</v>
      </c>
      <c r="C489" t="s">
        <v>812</v>
      </c>
      <c r="D489" t="s">
        <v>333</v>
      </c>
      <c r="E489" s="12">
        <v>5</v>
      </c>
      <c r="F489" s="154">
        <v>21</v>
      </c>
    </row>
    <row r="490" spans="2:6" x14ac:dyDescent="0.35">
      <c r="B490" s="153">
        <v>43586</v>
      </c>
      <c r="C490" t="s">
        <v>813</v>
      </c>
      <c r="D490" t="s">
        <v>15</v>
      </c>
      <c r="E490" s="12">
        <v>5</v>
      </c>
      <c r="F490" s="154">
        <v>24</v>
      </c>
    </row>
    <row r="491" spans="2:6" x14ac:dyDescent="0.35">
      <c r="B491" s="153">
        <v>43587</v>
      </c>
      <c r="C491" t="s">
        <v>813</v>
      </c>
      <c r="D491" t="s">
        <v>14</v>
      </c>
      <c r="E491" s="12">
        <v>5</v>
      </c>
      <c r="F491" s="154">
        <v>59</v>
      </c>
    </row>
    <row r="492" spans="2:6" x14ac:dyDescent="0.35">
      <c r="B492" s="153">
        <v>43588</v>
      </c>
      <c r="C492" t="s">
        <v>812</v>
      </c>
      <c r="D492" t="s">
        <v>12</v>
      </c>
      <c r="E492" s="12">
        <v>5</v>
      </c>
      <c r="F492" s="154">
        <v>52</v>
      </c>
    </row>
    <row r="493" spans="2:6" x14ac:dyDescent="0.35">
      <c r="B493" s="153">
        <v>43589</v>
      </c>
      <c r="C493" t="s">
        <v>812</v>
      </c>
      <c r="D493" t="s">
        <v>17</v>
      </c>
      <c r="E493" s="12">
        <v>1</v>
      </c>
      <c r="F493" s="154">
        <v>62</v>
      </c>
    </row>
    <row r="494" spans="2:6" x14ac:dyDescent="0.35">
      <c r="B494" s="153">
        <v>43590</v>
      </c>
      <c r="C494" t="s">
        <v>813</v>
      </c>
      <c r="D494" t="s">
        <v>17</v>
      </c>
      <c r="E494" s="12">
        <v>4</v>
      </c>
      <c r="F494" s="154">
        <v>38</v>
      </c>
    </row>
    <row r="495" spans="2:6" x14ac:dyDescent="0.35">
      <c r="B495" s="153">
        <v>43591</v>
      </c>
      <c r="C495" t="s">
        <v>813</v>
      </c>
      <c r="D495" t="s">
        <v>13</v>
      </c>
      <c r="E495" s="12">
        <v>3</v>
      </c>
      <c r="F495" s="154">
        <v>66</v>
      </c>
    </row>
    <row r="496" spans="2:6" x14ac:dyDescent="0.35">
      <c r="B496" s="153">
        <v>43592</v>
      </c>
      <c r="C496" t="s">
        <v>813</v>
      </c>
      <c r="D496" t="s">
        <v>15</v>
      </c>
      <c r="E496" s="12">
        <v>4</v>
      </c>
      <c r="F496" s="154">
        <v>32</v>
      </c>
    </row>
    <row r="497" spans="2:6" x14ac:dyDescent="0.35">
      <c r="B497" s="153">
        <v>43593</v>
      </c>
      <c r="C497" t="s">
        <v>812</v>
      </c>
      <c r="D497" t="s">
        <v>15</v>
      </c>
      <c r="E497" s="12">
        <v>3</v>
      </c>
      <c r="F497" s="154">
        <v>29</v>
      </c>
    </row>
    <row r="498" spans="2:6" x14ac:dyDescent="0.35">
      <c r="B498" s="153">
        <v>43594</v>
      </c>
      <c r="C498" t="s">
        <v>813</v>
      </c>
      <c r="D498" t="s">
        <v>14</v>
      </c>
      <c r="E498" s="12">
        <v>5</v>
      </c>
      <c r="F498" s="154">
        <v>47</v>
      </c>
    </row>
    <row r="499" spans="2:6" x14ac:dyDescent="0.35">
      <c r="B499" s="153">
        <v>43595</v>
      </c>
      <c r="C499" t="s">
        <v>813</v>
      </c>
      <c r="D499" t="s">
        <v>16</v>
      </c>
      <c r="E499" s="12">
        <v>1</v>
      </c>
      <c r="F499" s="154">
        <v>48</v>
      </c>
    </row>
    <row r="500" spans="2:6" x14ac:dyDescent="0.35">
      <c r="B500" s="153">
        <v>43596</v>
      </c>
      <c r="C500" t="s">
        <v>813</v>
      </c>
      <c r="D500" t="s">
        <v>17</v>
      </c>
      <c r="E500" s="12">
        <v>5</v>
      </c>
      <c r="F500" s="154">
        <v>54</v>
      </c>
    </row>
    <row r="501" spans="2:6" x14ac:dyDescent="0.35">
      <c r="B501" s="153">
        <v>43597</v>
      </c>
      <c r="C501" t="s">
        <v>813</v>
      </c>
      <c r="D501" t="s">
        <v>9</v>
      </c>
      <c r="E501" s="12">
        <v>4</v>
      </c>
      <c r="F501" s="154">
        <v>61</v>
      </c>
    </row>
    <row r="502" spans="2:6" x14ac:dyDescent="0.35">
      <c r="B502" s="153">
        <v>43598</v>
      </c>
      <c r="C502" t="s">
        <v>812</v>
      </c>
      <c r="D502" t="s">
        <v>10</v>
      </c>
      <c r="E502" s="12">
        <v>1</v>
      </c>
      <c r="F502" s="154">
        <v>53</v>
      </c>
    </row>
    <row r="503" spans="2:6" x14ac:dyDescent="0.35">
      <c r="B503" s="153">
        <v>43599</v>
      </c>
      <c r="C503" t="s">
        <v>813</v>
      </c>
      <c r="D503" t="s">
        <v>333</v>
      </c>
      <c r="E503" s="12">
        <v>2</v>
      </c>
      <c r="F503" s="154">
        <v>35</v>
      </c>
    </row>
    <row r="504" spans="2:6" x14ac:dyDescent="0.35">
      <c r="B504" s="153">
        <v>43600</v>
      </c>
      <c r="C504" t="s">
        <v>813</v>
      </c>
      <c r="D504" t="s">
        <v>17</v>
      </c>
      <c r="E504" s="12">
        <v>3</v>
      </c>
      <c r="F504" s="154">
        <v>53</v>
      </c>
    </row>
    <row r="505" spans="2:6" x14ac:dyDescent="0.35">
      <c r="B505" s="153">
        <v>43601</v>
      </c>
      <c r="C505" t="s">
        <v>813</v>
      </c>
      <c r="D505" t="s">
        <v>13</v>
      </c>
      <c r="E505" s="12">
        <v>4</v>
      </c>
      <c r="F505" s="154">
        <v>40</v>
      </c>
    </row>
    <row r="506" spans="2:6" x14ac:dyDescent="0.35">
      <c r="B506" s="153">
        <v>43602</v>
      </c>
      <c r="C506" t="s">
        <v>813</v>
      </c>
      <c r="D506" t="s">
        <v>15</v>
      </c>
      <c r="E506" s="12">
        <v>3</v>
      </c>
      <c r="F506" s="154">
        <v>32</v>
      </c>
    </row>
    <row r="507" spans="2:6" x14ac:dyDescent="0.35">
      <c r="B507" s="153">
        <v>43603</v>
      </c>
      <c r="C507" t="s">
        <v>813</v>
      </c>
      <c r="D507" t="s">
        <v>15</v>
      </c>
      <c r="E507" s="12">
        <v>2</v>
      </c>
      <c r="F507" s="154">
        <v>18</v>
      </c>
    </row>
    <row r="508" spans="2:6" x14ac:dyDescent="0.35">
      <c r="B508" s="153">
        <v>43604</v>
      </c>
      <c r="C508" t="s">
        <v>813</v>
      </c>
      <c r="D508" t="s">
        <v>16</v>
      </c>
      <c r="E508" s="12">
        <v>2</v>
      </c>
      <c r="F508" s="154">
        <v>54</v>
      </c>
    </row>
    <row r="509" spans="2:6" x14ac:dyDescent="0.35">
      <c r="B509" s="153">
        <v>43605</v>
      </c>
      <c r="C509" t="s">
        <v>813</v>
      </c>
      <c r="D509" t="s">
        <v>12</v>
      </c>
      <c r="E509" s="12">
        <v>4</v>
      </c>
      <c r="F509" s="154">
        <v>67</v>
      </c>
    </row>
    <row r="510" spans="2:6" x14ac:dyDescent="0.35">
      <c r="B510" s="153">
        <v>43606</v>
      </c>
      <c r="C510" t="s">
        <v>812</v>
      </c>
      <c r="D510" t="s">
        <v>16</v>
      </c>
      <c r="E510" s="12">
        <v>3</v>
      </c>
      <c r="F510" s="154">
        <v>53</v>
      </c>
    </row>
    <row r="511" spans="2:6" x14ac:dyDescent="0.35">
      <c r="B511" s="153">
        <v>43607</v>
      </c>
      <c r="C511" t="s">
        <v>812</v>
      </c>
      <c r="D511" t="s">
        <v>16</v>
      </c>
      <c r="E511" s="12">
        <v>5</v>
      </c>
      <c r="F511" s="154">
        <v>20</v>
      </c>
    </row>
    <row r="512" spans="2:6" x14ac:dyDescent="0.35">
      <c r="B512" s="153">
        <v>43608</v>
      </c>
      <c r="C512" t="s">
        <v>813</v>
      </c>
      <c r="D512" t="s">
        <v>15</v>
      </c>
      <c r="E512" s="12">
        <v>5</v>
      </c>
      <c r="F512" s="154">
        <v>46</v>
      </c>
    </row>
    <row r="513" spans="2:6" x14ac:dyDescent="0.35">
      <c r="B513" s="153">
        <v>43609</v>
      </c>
      <c r="C513" t="s">
        <v>813</v>
      </c>
      <c r="D513" t="s">
        <v>9</v>
      </c>
      <c r="E513" s="12">
        <v>1</v>
      </c>
      <c r="F513" s="154">
        <v>32</v>
      </c>
    </row>
    <row r="514" spans="2:6" x14ac:dyDescent="0.35">
      <c r="B514" s="153">
        <v>43610</v>
      </c>
      <c r="C514" t="s">
        <v>813</v>
      </c>
      <c r="D514" t="s">
        <v>333</v>
      </c>
      <c r="E514" s="12">
        <v>2</v>
      </c>
      <c r="F514" s="154">
        <v>23</v>
      </c>
    </row>
    <row r="515" spans="2:6" x14ac:dyDescent="0.35">
      <c r="B515" s="153">
        <v>43611</v>
      </c>
      <c r="C515" t="s">
        <v>813</v>
      </c>
      <c r="D515" t="s">
        <v>17</v>
      </c>
      <c r="E515" s="12">
        <v>2</v>
      </c>
      <c r="F515" s="154">
        <v>67</v>
      </c>
    </row>
    <row r="516" spans="2:6" x14ac:dyDescent="0.35">
      <c r="B516" s="153">
        <v>43612</v>
      </c>
      <c r="C516" t="s">
        <v>813</v>
      </c>
      <c r="D516" t="s">
        <v>17</v>
      </c>
      <c r="E516" s="12">
        <v>5</v>
      </c>
      <c r="F516" s="154">
        <v>42</v>
      </c>
    </row>
    <row r="517" spans="2:6" x14ac:dyDescent="0.35">
      <c r="B517" s="153">
        <v>43613</v>
      </c>
      <c r="C517" t="s">
        <v>812</v>
      </c>
      <c r="D517" t="s">
        <v>10</v>
      </c>
      <c r="E517" s="12">
        <v>5</v>
      </c>
      <c r="F517" s="154">
        <v>24</v>
      </c>
    </row>
    <row r="518" spans="2:6" x14ac:dyDescent="0.35">
      <c r="B518" s="153">
        <v>43614</v>
      </c>
      <c r="C518" t="s">
        <v>813</v>
      </c>
      <c r="D518" t="s">
        <v>16</v>
      </c>
      <c r="E518" s="12">
        <v>2</v>
      </c>
      <c r="F518" s="154">
        <v>31</v>
      </c>
    </row>
    <row r="519" spans="2:6" x14ac:dyDescent="0.35">
      <c r="B519" s="153">
        <v>43615</v>
      </c>
      <c r="C519" t="s">
        <v>813</v>
      </c>
      <c r="D519" t="s">
        <v>14</v>
      </c>
      <c r="E519" s="12">
        <v>4</v>
      </c>
      <c r="F519" s="154">
        <v>28</v>
      </c>
    </row>
    <row r="520" spans="2:6" x14ac:dyDescent="0.35">
      <c r="B520" s="153">
        <v>43616</v>
      </c>
      <c r="C520" t="s">
        <v>813</v>
      </c>
      <c r="D520" t="s">
        <v>12</v>
      </c>
      <c r="E520" s="12">
        <v>4</v>
      </c>
      <c r="F520" s="154">
        <v>51</v>
      </c>
    </row>
    <row r="521" spans="2:6" x14ac:dyDescent="0.35">
      <c r="B521" s="153">
        <v>43617</v>
      </c>
      <c r="C521" t="s">
        <v>813</v>
      </c>
      <c r="D521" t="s">
        <v>9</v>
      </c>
      <c r="E521" s="12">
        <v>5</v>
      </c>
      <c r="F521" s="154">
        <v>67</v>
      </c>
    </row>
    <row r="522" spans="2:6" x14ac:dyDescent="0.35">
      <c r="B522" s="153">
        <v>43618</v>
      </c>
      <c r="C522" t="s">
        <v>812</v>
      </c>
      <c r="D522" t="s">
        <v>16</v>
      </c>
      <c r="E522" s="12">
        <v>3</v>
      </c>
      <c r="F522" s="154">
        <v>34</v>
      </c>
    </row>
    <row r="523" spans="2:6" x14ac:dyDescent="0.35">
      <c r="B523" s="153">
        <v>43619</v>
      </c>
      <c r="C523" t="s">
        <v>813</v>
      </c>
      <c r="D523" t="s">
        <v>13</v>
      </c>
      <c r="E523" s="12">
        <v>5</v>
      </c>
      <c r="F523" s="154">
        <v>17</v>
      </c>
    </row>
    <row r="524" spans="2:6" x14ac:dyDescent="0.35">
      <c r="B524" s="153">
        <v>43620</v>
      </c>
      <c r="C524" t="s">
        <v>812</v>
      </c>
      <c r="D524" t="s">
        <v>10</v>
      </c>
      <c r="E524" s="12">
        <v>1</v>
      </c>
      <c r="F524" s="154">
        <v>63</v>
      </c>
    </row>
    <row r="525" spans="2:6" x14ac:dyDescent="0.35">
      <c r="B525" s="153">
        <v>43621</v>
      </c>
      <c r="C525" t="s">
        <v>812</v>
      </c>
      <c r="D525" t="s">
        <v>10</v>
      </c>
      <c r="E525" s="12">
        <v>4</v>
      </c>
      <c r="F525" s="154">
        <v>53</v>
      </c>
    </row>
    <row r="526" spans="2:6" x14ac:dyDescent="0.35">
      <c r="B526" s="153">
        <v>43622</v>
      </c>
      <c r="C526" t="s">
        <v>812</v>
      </c>
      <c r="D526" t="s">
        <v>333</v>
      </c>
      <c r="E526" s="12">
        <v>2</v>
      </c>
      <c r="F526" s="154">
        <v>64</v>
      </c>
    </row>
    <row r="527" spans="2:6" x14ac:dyDescent="0.35">
      <c r="B527" s="153">
        <v>43623</v>
      </c>
      <c r="C527" t="s">
        <v>812</v>
      </c>
      <c r="D527" t="s">
        <v>12</v>
      </c>
      <c r="E527" s="12">
        <v>3</v>
      </c>
      <c r="F527" s="154">
        <v>60</v>
      </c>
    </row>
    <row r="528" spans="2:6" x14ac:dyDescent="0.35">
      <c r="B528" s="153">
        <v>43624</v>
      </c>
      <c r="C528" t="s">
        <v>812</v>
      </c>
      <c r="D528" t="s">
        <v>12</v>
      </c>
      <c r="E528" s="12">
        <v>3</v>
      </c>
      <c r="F528" s="154">
        <v>32</v>
      </c>
    </row>
    <row r="529" spans="2:6" x14ac:dyDescent="0.35">
      <c r="B529" s="153">
        <v>43625</v>
      </c>
      <c r="C529" t="s">
        <v>812</v>
      </c>
      <c r="D529" t="s">
        <v>11</v>
      </c>
      <c r="E529" s="12">
        <v>1</v>
      </c>
      <c r="F529" s="154">
        <v>25</v>
      </c>
    </row>
    <row r="530" spans="2:6" x14ac:dyDescent="0.35">
      <c r="B530" s="153">
        <v>43626</v>
      </c>
      <c r="C530" t="s">
        <v>813</v>
      </c>
      <c r="D530" t="s">
        <v>13</v>
      </c>
      <c r="E530" s="12">
        <v>5</v>
      </c>
      <c r="F530" s="154">
        <v>49</v>
      </c>
    </row>
    <row r="531" spans="2:6" x14ac:dyDescent="0.35">
      <c r="B531" s="153">
        <v>43627</v>
      </c>
      <c r="C531" t="s">
        <v>812</v>
      </c>
      <c r="D531" t="s">
        <v>17</v>
      </c>
      <c r="E531" s="12">
        <v>3</v>
      </c>
      <c r="F531" s="154">
        <v>63</v>
      </c>
    </row>
    <row r="532" spans="2:6" x14ac:dyDescent="0.35">
      <c r="B532" s="153">
        <v>43628</v>
      </c>
      <c r="C532" t="s">
        <v>812</v>
      </c>
      <c r="D532" t="s">
        <v>16</v>
      </c>
      <c r="E532" s="12">
        <v>1</v>
      </c>
      <c r="F532" s="154">
        <v>34</v>
      </c>
    </row>
    <row r="533" spans="2:6" x14ac:dyDescent="0.35">
      <c r="B533" s="153">
        <v>43629</v>
      </c>
      <c r="C533" t="s">
        <v>812</v>
      </c>
      <c r="D533" t="s">
        <v>16</v>
      </c>
      <c r="E533" s="12">
        <v>4</v>
      </c>
      <c r="F533" s="154">
        <v>65</v>
      </c>
    </row>
    <row r="534" spans="2:6" x14ac:dyDescent="0.35">
      <c r="B534" s="153">
        <v>43630</v>
      </c>
      <c r="C534" t="s">
        <v>812</v>
      </c>
      <c r="D534" t="s">
        <v>11</v>
      </c>
      <c r="E534" s="12">
        <v>5</v>
      </c>
      <c r="F534" s="154">
        <v>62</v>
      </c>
    </row>
    <row r="535" spans="2:6" x14ac:dyDescent="0.35">
      <c r="B535" s="153">
        <v>43631</v>
      </c>
      <c r="C535" t="s">
        <v>813</v>
      </c>
      <c r="D535" t="s">
        <v>9</v>
      </c>
      <c r="E535" s="12">
        <v>3</v>
      </c>
      <c r="F535" s="154">
        <v>50</v>
      </c>
    </row>
    <row r="536" spans="2:6" x14ac:dyDescent="0.35">
      <c r="B536" s="153">
        <v>43632</v>
      </c>
      <c r="C536" t="s">
        <v>812</v>
      </c>
      <c r="D536" t="s">
        <v>12</v>
      </c>
      <c r="E536" s="12">
        <v>1</v>
      </c>
      <c r="F536" s="154">
        <v>32</v>
      </c>
    </row>
    <row r="537" spans="2:6" x14ac:dyDescent="0.35">
      <c r="B537" s="153">
        <v>43633</v>
      </c>
      <c r="C537" t="s">
        <v>813</v>
      </c>
      <c r="D537" t="s">
        <v>13</v>
      </c>
      <c r="E537" s="12">
        <v>4</v>
      </c>
      <c r="F537" s="154">
        <v>54</v>
      </c>
    </row>
    <row r="538" spans="2:6" x14ac:dyDescent="0.35">
      <c r="B538" s="153">
        <v>43634</v>
      </c>
      <c r="C538" t="s">
        <v>813</v>
      </c>
      <c r="D538" t="s">
        <v>9</v>
      </c>
      <c r="E538" s="12">
        <v>2</v>
      </c>
      <c r="F538" s="154">
        <v>67</v>
      </c>
    </row>
    <row r="539" spans="2:6" x14ac:dyDescent="0.35">
      <c r="B539" s="153">
        <v>43635</v>
      </c>
      <c r="C539" t="s">
        <v>813</v>
      </c>
      <c r="D539" t="s">
        <v>14</v>
      </c>
      <c r="E539" s="12">
        <v>4</v>
      </c>
      <c r="F539" s="154">
        <v>37</v>
      </c>
    </row>
    <row r="540" spans="2:6" x14ac:dyDescent="0.35">
      <c r="B540" s="153">
        <v>43636</v>
      </c>
      <c r="C540" t="s">
        <v>813</v>
      </c>
      <c r="D540" t="s">
        <v>11</v>
      </c>
      <c r="E540" s="12">
        <v>2</v>
      </c>
      <c r="F540" s="154">
        <v>53</v>
      </c>
    </row>
    <row r="541" spans="2:6" x14ac:dyDescent="0.35">
      <c r="B541" s="153">
        <v>43637</v>
      </c>
      <c r="C541" t="s">
        <v>813</v>
      </c>
      <c r="D541" t="s">
        <v>13</v>
      </c>
      <c r="E541" s="12">
        <v>1</v>
      </c>
      <c r="F541" s="154">
        <v>53</v>
      </c>
    </row>
    <row r="542" spans="2:6" x14ac:dyDescent="0.35">
      <c r="B542" s="153">
        <v>43638</v>
      </c>
      <c r="C542" t="s">
        <v>812</v>
      </c>
      <c r="D542" t="s">
        <v>10</v>
      </c>
      <c r="E542" s="12">
        <v>3</v>
      </c>
      <c r="F542" s="154">
        <v>37</v>
      </c>
    </row>
    <row r="543" spans="2:6" x14ac:dyDescent="0.35">
      <c r="B543" s="153">
        <v>43639</v>
      </c>
      <c r="C543" t="s">
        <v>813</v>
      </c>
      <c r="D543" t="s">
        <v>10</v>
      </c>
      <c r="E543" s="12">
        <v>2</v>
      </c>
      <c r="F543" s="154">
        <v>17</v>
      </c>
    </row>
    <row r="544" spans="2:6" x14ac:dyDescent="0.35">
      <c r="B544" s="153">
        <v>43640</v>
      </c>
      <c r="C544" t="s">
        <v>813</v>
      </c>
      <c r="D544" t="s">
        <v>12</v>
      </c>
      <c r="E544" s="12">
        <v>5</v>
      </c>
      <c r="F544" s="154">
        <v>57</v>
      </c>
    </row>
    <row r="545" spans="2:6" x14ac:dyDescent="0.35">
      <c r="B545" s="153">
        <v>43641</v>
      </c>
      <c r="C545" t="s">
        <v>813</v>
      </c>
      <c r="D545" t="s">
        <v>11</v>
      </c>
      <c r="E545" s="12">
        <v>1</v>
      </c>
      <c r="F545" s="154">
        <v>63</v>
      </c>
    </row>
    <row r="546" spans="2:6" x14ac:dyDescent="0.35">
      <c r="B546" s="153">
        <v>43642</v>
      </c>
      <c r="C546" t="s">
        <v>812</v>
      </c>
      <c r="D546" t="s">
        <v>16</v>
      </c>
      <c r="E546" s="12">
        <v>1</v>
      </c>
      <c r="F546" s="154">
        <v>15</v>
      </c>
    </row>
    <row r="547" spans="2:6" x14ac:dyDescent="0.35">
      <c r="B547" s="153">
        <v>43643</v>
      </c>
      <c r="C547" t="s">
        <v>812</v>
      </c>
      <c r="D547" t="s">
        <v>10</v>
      </c>
      <c r="E547" s="12">
        <v>5</v>
      </c>
      <c r="F547" s="154">
        <v>25</v>
      </c>
    </row>
    <row r="548" spans="2:6" x14ac:dyDescent="0.35">
      <c r="B548" s="153">
        <v>43644</v>
      </c>
      <c r="C548" t="s">
        <v>813</v>
      </c>
      <c r="D548" t="s">
        <v>16</v>
      </c>
      <c r="E548" s="12">
        <v>1</v>
      </c>
      <c r="F548" s="154">
        <v>35</v>
      </c>
    </row>
    <row r="549" spans="2:6" x14ac:dyDescent="0.35">
      <c r="B549" s="153">
        <v>43645</v>
      </c>
      <c r="C549" t="s">
        <v>812</v>
      </c>
      <c r="D549" t="s">
        <v>333</v>
      </c>
      <c r="E549" s="12">
        <v>3</v>
      </c>
      <c r="F549" s="154">
        <v>59</v>
      </c>
    </row>
    <row r="550" spans="2:6" x14ac:dyDescent="0.35">
      <c r="B550" s="153">
        <v>43646</v>
      </c>
      <c r="C550" t="s">
        <v>813</v>
      </c>
      <c r="D550" t="s">
        <v>333</v>
      </c>
      <c r="E550" s="12">
        <v>5</v>
      </c>
      <c r="F550" s="154">
        <v>28</v>
      </c>
    </row>
    <row r="551" spans="2:6" x14ac:dyDescent="0.35">
      <c r="B551" s="153">
        <v>43647</v>
      </c>
      <c r="C551" t="s">
        <v>812</v>
      </c>
      <c r="D551" t="s">
        <v>16</v>
      </c>
      <c r="E551" s="12">
        <v>4</v>
      </c>
      <c r="F551" s="154">
        <v>22</v>
      </c>
    </row>
    <row r="552" spans="2:6" x14ac:dyDescent="0.35">
      <c r="B552" s="153">
        <v>43648</v>
      </c>
      <c r="C552" t="s">
        <v>813</v>
      </c>
      <c r="D552" t="s">
        <v>15</v>
      </c>
      <c r="E552" s="12">
        <v>1</v>
      </c>
      <c r="F552" s="154">
        <v>56</v>
      </c>
    </row>
    <row r="553" spans="2:6" x14ac:dyDescent="0.35">
      <c r="B553" s="153">
        <v>43649</v>
      </c>
      <c r="C553" t="s">
        <v>812</v>
      </c>
      <c r="D553" t="s">
        <v>11</v>
      </c>
      <c r="E553" s="12">
        <v>4</v>
      </c>
      <c r="F553" s="154">
        <v>43</v>
      </c>
    </row>
    <row r="554" spans="2:6" x14ac:dyDescent="0.35">
      <c r="B554" s="153">
        <v>43650</v>
      </c>
      <c r="C554" t="s">
        <v>813</v>
      </c>
      <c r="D554" t="s">
        <v>12</v>
      </c>
      <c r="E554" s="12">
        <v>5</v>
      </c>
      <c r="F554" s="154">
        <v>60</v>
      </c>
    </row>
    <row r="555" spans="2:6" x14ac:dyDescent="0.35">
      <c r="B555" s="153">
        <v>43651</v>
      </c>
      <c r="C555" t="s">
        <v>812</v>
      </c>
      <c r="D555" t="s">
        <v>13</v>
      </c>
      <c r="E555" s="12">
        <v>1</v>
      </c>
      <c r="F555" s="154">
        <v>45</v>
      </c>
    </row>
    <row r="556" spans="2:6" x14ac:dyDescent="0.35">
      <c r="B556" s="153">
        <v>43652</v>
      </c>
      <c r="C556" t="s">
        <v>812</v>
      </c>
      <c r="D556" t="s">
        <v>13</v>
      </c>
      <c r="E556" s="12">
        <v>4</v>
      </c>
      <c r="F556" s="154">
        <v>62</v>
      </c>
    </row>
    <row r="557" spans="2:6" x14ac:dyDescent="0.35">
      <c r="B557" s="153">
        <v>43653</v>
      </c>
      <c r="C557" t="s">
        <v>813</v>
      </c>
      <c r="D557" t="s">
        <v>13</v>
      </c>
      <c r="E557" s="12">
        <v>5</v>
      </c>
      <c r="F557" s="154">
        <v>69</v>
      </c>
    </row>
    <row r="558" spans="2:6" x14ac:dyDescent="0.35">
      <c r="B558" s="153">
        <v>43654</v>
      </c>
      <c r="C558" t="s">
        <v>812</v>
      </c>
      <c r="D558" t="s">
        <v>15</v>
      </c>
      <c r="E558" s="12">
        <v>2</v>
      </c>
      <c r="F558" s="154">
        <v>65</v>
      </c>
    </row>
    <row r="559" spans="2:6" x14ac:dyDescent="0.35">
      <c r="B559" s="153">
        <v>43655</v>
      </c>
      <c r="C559" t="s">
        <v>812</v>
      </c>
      <c r="D559" t="s">
        <v>17</v>
      </c>
      <c r="E559" s="12">
        <v>1</v>
      </c>
      <c r="F559" s="154">
        <v>60</v>
      </c>
    </row>
    <row r="560" spans="2:6" x14ac:dyDescent="0.35">
      <c r="B560" s="153">
        <v>43656</v>
      </c>
      <c r="C560" t="s">
        <v>812</v>
      </c>
      <c r="D560" t="s">
        <v>13</v>
      </c>
      <c r="E560" s="12">
        <v>2</v>
      </c>
      <c r="F560" s="154">
        <v>51</v>
      </c>
    </row>
    <row r="561" spans="2:6" x14ac:dyDescent="0.35">
      <c r="B561" s="153">
        <v>43657</v>
      </c>
      <c r="C561" t="s">
        <v>812</v>
      </c>
      <c r="D561" t="s">
        <v>9</v>
      </c>
      <c r="E561" s="12">
        <v>4</v>
      </c>
      <c r="F561" s="154">
        <v>69</v>
      </c>
    </row>
    <row r="562" spans="2:6" x14ac:dyDescent="0.35">
      <c r="B562" s="153">
        <v>43658</v>
      </c>
      <c r="C562" t="s">
        <v>813</v>
      </c>
      <c r="D562" t="s">
        <v>14</v>
      </c>
      <c r="E562" s="12">
        <v>2</v>
      </c>
      <c r="F562" s="154">
        <v>27</v>
      </c>
    </row>
    <row r="563" spans="2:6" x14ac:dyDescent="0.35">
      <c r="B563" s="153">
        <v>43659</v>
      </c>
      <c r="C563" t="s">
        <v>812</v>
      </c>
      <c r="D563" t="s">
        <v>14</v>
      </c>
      <c r="E563" s="12">
        <v>1</v>
      </c>
      <c r="F563" s="154">
        <v>33</v>
      </c>
    </row>
    <row r="564" spans="2:6" x14ac:dyDescent="0.35">
      <c r="B564" s="153">
        <v>43660</v>
      </c>
      <c r="C564" t="s">
        <v>812</v>
      </c>
      <c r="D564" t="s">
        <v>17</v>
      </c>
      <c r="E564" s="12">
        <v>5</v>
      </c>
      <c r="F564" s="154">
        <v>35</v>
      </c>
    </row>
    <row r="565" spans="2:6" x14ac:dyDescent="0.35">
      <c r="B565" s="153">
        <v>43661</v>
      </c>
      <c r="C565" t="s">
        <v>813</v>
      </c>
      <c r="D565" t="s">
        <v>13</v>
      </c>
      <c r="E565" s="12">
        <v>2</v>
      </c>
      <c r="F565" s="154">
        <v>63</v>
      </c>
    </row>
    <row r="566" spans="2:6" x14ac:dyDescent="0.35">
      <c r="B566" s="153">
        <v>43662</v>
      </c>
      <c r="C566" t="s">
        <v>813</v>
      </c>
      <c r="D566" t="s">
        <v>17</v>
      </c>
      <c r="E566" s="12">
        <v>5</v>
      </c>
      <c r="F566" s="154">
        <v>44</v>
      </c>
    </row>
    <row r="567" spans="2:6" x14ac:dyDescent="0.35">
      <c r="B567" s="153">
        <v>43663</v>
      </c>
      <c r="C567" t="s">
        <v>813</v>
      </c>
      <c r="D567" t="s">
        <v>16</v>
      </c>
      <c r="E567" s="12">
        <v>3</v>
      </c>
      <c r="F567" s="154">
        <v>52</v>
      </c>
    </row>
    <row r="568" spans="2:6" x14ac:dyDescent="0.35">
      <c r="B568" s="153">
        <v>43664</v>
      </c>
      <c r="C568" t="s">
        <v>812</v>
      </c>
      <c r="D568" t="s">
        <v>9</v>
      </c>
      <c r="E568" s="12">
        <v>3</v>
      </c>
      <c r="F568" s="154">
        <v>45</v>
      </c>
    </row>
    <row r="569" spans="2:6" x14ac:dyDescent="0.35">
      <c r="B569" s="153">
        <v>43665</v>
      </c>
      <c r="C569" t="s">
        <v>812</v>
      </c>
      <c r="D569" t="s">
        <v>14</v>
      </c>
      <c r="E569" s="12">
        <v>3</v>
      </c>
      <c r="F569" s="154">
        <v>18</v>
      </c>
    </row>
    <row r="570" spans="2:6" x14ac:dyDescent="0.35">
      <c r="B570" s="153">
        <v>43666</v>
      </c>
      <c r="C570" t="s">
        <v>813</v>
      </c>
      <c r="D570" t="s">
        <v>333</v>
      </c>
      <c r="E570" s="12">
        <v>5</v>
      </c>
      <c r="F570" s="154">
        <v>30</v>
      </c>
    </row>
    <row r="571" spans="2:6" x14ac:dyDescent="0.35">
      <c r="B571" s="153">
        <v>43667</v>
      </c>
      <c r="C571" t="s">
        <v>812</v>
      </c>
      <c r="D571" t="s">
        <v>9</v>
      </c>
      <c r="E571" s="12">
        <v>3</v>
      </c>
      <c r="F571" s="154">
        <v>51</v>
      </c>
    </row>
    <row r="572" spans="2:6" x14ac:dyDescent="0.35">
      <c r="B572" s="153">
        <v>43668</v>
      </c>
      <c r="C572" t="s">
        <v>812</v>
      </c>
      <c r="D572" t="s">
        <v>333</v>
      </c>
      <c r="E572" s="12">
        <v>2</v>
      </c>
      <c r="F572" s="154">
        <v>59</v>
      </c>
    </row>
    <row r="573" spans="2:6" x14ac:dyDescent="0.35">
      <c r="B573" s="153">
        <v>43669</v>
      </c>
      <c r="C573" t="s">
        <v>812</v>
      </c>
      <c r="D573" t="s">
        <v>14</v>
      </c>
      <c r="E573" s="12">
        <v>5</v>
      </c>
      <c r="F573" s="154">
        <v>50</v>
      </c>
    </row>
    <row r="574" spans="2:6" x14ac:dyDescent="0.35">
      <c r="B574" s="153">
        <v>43670</v>
      </c>
      <c r="C574" t="s">
        <v>813</v>
      </c>
      <c r="D574" t="s">
        <v>11</v>
      </c>
      <c r="E574" s="12">
        <v>4</v>
      </c>
      <c r="F574" s="154">
        <v>17</v>
      </c>
    </row>
    <row r="575" spans="2:6" x14ac:dyDescent="0.35">
      <c r="B575" s="153">
        <v>43671</v>
      </c>
      <c r="C575" t="s">
        <v>812</v>
      </c>
      <c r="D575" t="s">
        <v>13</v>
      </c>
      <c r="E575" s="12">
        <v>3</v>
      </c>
      <c r="F575" s="154">
        <v>19</v>
      </c>
    </row>
    <row r="576" spans="2:6" x14ac:dyDescent="0.35">
      <c r="B576" s="153">
        <v>43672</v>
      </c>
      <c r="C576" t="s">
        <v>812</v>
      </c>
      <c r="D576" t="s">
        <v>13</v>
      </c>
      <c r="E576" s="12">
        <v>5</v>
      </c>
      <c r="F576" s="154">
        <v>70</v>
      </c>
    </row>
    <row r="577" spans="2:6" x14ac:dyDescent="0.35">
      <c r="B577" s="153">
        <v>43673</v>
      </c>
      <c r="C577" t="s">
        <v>812</v>
      </c>
      <c r="D577" t="s">
        <v>333</v>
      </c>
      <c r="E577" s="12">
        <v>5</v>
      </c>
      <c r="F577" s="154">
        <v>45</v>
      </c>
    </row>
    <row r="578" spans="2:6" x14ac:dyDescent="0.35">
      <c r="B578" s="153">
        <v>43674</v>
      </c>
      <c r="C578" t="s">
        <v>813</v>
      </c>
      <c r="D578" t="s">
        <v>12</v>
      </c>
      <c r="E578" s="12">
        <v>4</v>
      </c>
      <c r="F578" s="154">
        <v>17</v>
      </c>
    </row>
    <row r="579" spans="2:6" x14ac:dyDescent="0.35">
      <c r="B579" s="153">
        <v>43675</v>
      </c>
      <c r="C579" t="s">
        <v>813</v>
      </c>
      <c r="D579" t="s">
        <v>333</v>
      </c>
      <c r="E579" s="12">
        <v>1</v>
      </c>
      <c r="F579" s="154">
        <v>58</v>
      </c>
    </row>
    <row r="580" spans="2:6" x14ac:dyDescent="0.35">
      <c r="B580" s="153">
        <v>43676</v>
      </c>
      <c r="C580" t="s">
        <v>812</v>
      </c>
      <c r="D580" t="s">
        <v>333</v>
      </c>
      <c r="E580" s="12">
        <v>4</v>
      </c>
      <c r="F580" s="154">
        <v>46</v>
      </c>
    </row>
    <row r="581" spans="2:6" x14ac:dyDescent="0.35">
      <c r="B581" s="153">
        <v>43677</v>
      </c>
      <c r="C581" t="s">
        <v>813</v>
      </c>
      <c r="D581" t="s">
        <v>9</v>
      </c>
      <c r="E581" s="12">
        <v>1</v>
      </c>
      <c r="F581" s="154">
        <v>30</v>
      </c>
    </row>
    <row r="582" spans="2:6" x14ac:dyDescent="0.35">
      <c r="B582" s="153">
        <v>43678</v>
      </c>
      <c r="C582" t="s">
        <v>813</v>
      </c>
      <c r="D582" t="s">
        <v>9</v>
      </c>
      <c r="E582" s="12">
        <v>2</v>
      </c>
      <c r="F582" s="154">
        <v>63</v>
      </c>
    </row>
    <row r="583" spans="2:6" x14ac:dyDescent="0.35">
      <c r="B583" s="153">
        <v>43679</v>
      </c>
      <c r="C583" t="s">
        <v>812</v>
      </c>
      <c r="D583" t="s">
        <v>15</v>
      </c>
      <c r="E583" s="12">
        <v>2</v>
      </c>
      <c r="F583" s="154">
        <v>57</v>
      </c>
    </row>
    <row r="584" spans="2:6" x14ac:dyDescent="0.35">
      <c r="B584" s="153">
        <v>43680</v>
      </c>
      <c r="C584" t="s">
        <v>813</v>
      </c>
      <c r="D584" t="s">
        <v>333</v>
      </c>
      <c r="E584" s="12">
        <v>2</v>
      </c>
      <c r="F584" s="154">
        <v>49</v>
      </c>
    </row>
    <row r="585" spans="2:6" x14ac:dyDescent="0.35">
      <c r="B585" s="153">
        <v>43681</v>
      </c>
      <c r="C585" t="s">
        <v>812</v>
      </c>
      <c r="D585" t="s">
        <v>333</v>
      </c>
      <c r="E585" s="12">
        <v>5</v>
      </c>
      <c r="F585" s="154">
        <v>25</v>
      </c>
    </row>
    <row r="586" spans="2:6" x14ac:dyDescent="0.35">
      <c r="B586" s="153">
        <v>43682</v>
      </c>
      <c r="C586" t="s">
        <v>812</v>
      </c>
      <c r="D586" t="s">
        <v>14</v>
      </c>
      <c r="E586" s="12">
        <v>1</v>
      </c>
      <c r="F586" s="154">
        <v>55</v>
      </c>
    </row>
    <row r="587" spans="2:6" x14ac:dyDescent="0.35">
      <c r="B587" s="153">
        <v>43683</v>
      </c>
      <c r="C587" t="s">
        <v>813</v>
      </c>
      <c r="D587" t="s">
        <v>10</v>
      </c>
      <c r="E587" s="12">
        <v>2</v>
      </c>
      <c r="F587" s="154">
        <v>50</v>
      </c>
    </row>
    <row r="588" spans="2:6" x14ac:dyDescent="0.35">
      <c r="B588" s="153">
        <v>43684</v>
      </c>
      <c r="C588" t="s">
        <v>812</v>
      </c>
      <c r="D588" t="s">
        <v>14</v>
      </c>
      <c r="E588" s="12">
        <v>2</v>
      </c>
      <c r="F588" s="154">
        <v>43</v>
      </c>
    </row>
    <row r="589" spans="2:6" x14ac:dyDescent="0.35">
      <c r="B589" s="153">
        <v>43685</v>
      </c>
      <c r="C589" t="s">
        <v>813</v>
      </c>
      <c r="D589" t="s">
        <v>10</v>
      </c>
      <c r="E589" s="12">
        <v>3</v>
      </c>
      <c r="F589" s="154">
        <v>67</v>
      </c>
    </row>
    <row r="590" spans="2:6" x14ac:dyDescent="0.35">
      <c r="B590" s="153">
        <v>43686</v>
      </c>
      <c r="C590" t="s">
        <v>812</v>
      </c>
      <c r="D590" t="s">
        <v>14</v>
      </c>
      <c r="E590" s="12">
        <v>3</v>
      </c>
      <c r="F590" s="154">
        <v>19</v>
      </c>
    </row>
    <row r="591" spans="2:6" x14ac:dyDescent="0.35">
      <c r="B591" s="153">
        <v>43687</v>
      </c>
      <c r="C591" t="s">
        <v>812</v>
      </c>
      <c r="D591" t="s">
        <v>11</v>
      </c>
      <c r="E591" s="12">
        <v>4</v>
      </c>
      <c r="F591" s="154">
        <v>32</v>
      </c>
    </row>
    <row r="592" spans="2:6" x14ac:dyDescent="0.35">
      <c r="B592" s="153">
        <v>43688</v>
      </c>
      <c r="C592" t="s">
        <v>812</v>
      </c>
      <c r="D592" t="s">
        <v>14</v>
      </c>
      <c r="E592" s="12">
        <v>3</v>
      </c>
      <c r="F592" s="154">
        <v>22</v>
      </c>
    </row>
    <row r="593" spans="2:6" x14ac:dyDescent="0.35">
      <c r="B593" s="153">
        <v>43689</v>
      </c>
      <c r="C593" t="s">
        <v>812</v>
      </c>
      <c r="D593" t="s">
        <v>13</v>
      </c>
      <c r="E593" s="12">
        <v>4</v>
      </c>
      <c r="F593" s="154">
        <v>66</v>
      </c>
    </row>
    <row r="594" spans="2:6" x14ac:dyDescent="0.35">
      <c r="B594" s="153">
        <v>43690</v>
      </c>
      <c r="C594" t="s">
        <v>813</v>
      </c>
      <c r="D594" t="s">
        <v>16</v>
      </c>
      <c r="E594" s="12">
        <v>1</v>
      </c>
      <c r="F594" s="154">
        <v>36</v>
      </c>
    </row>
    <row r="595" spans="2:6" x14ac:dyDescent="0.35">
      <c r="B595" s="153">
        <v>43691</v>
      </c>
      <c r="C595" t="s">
        <v>813</v>
      </c>
      <c r="D595" t="s">
        <v>12</v>
      </c>
      <c r="E595" s="12">
        <v>1</v>
      </c>
      <c r="F595" s="154">
        <v>36</v>
      </c>
    </row>
    <row r="596" spans="2:6" x14ac:dyDescent="0.35">
      <c r="B596" s="153">
        <v>43692</v>
      </c>
      <c r="C596" t="s">
        <v>813</v>
      </c>
      <c r="D596" t="s">
        <v>13</v>
      </c>
      <c r="E596" s="12">
        <v>2</v>
      </c>
      <c r="F596" s="154">
        <v>61</v>
      </c>
    </row>
    <row r="597" spans="2:6" x14ac:dyDescent="0.35">
      <c r="B597" s="153">
        <v>43693</v>
      </c>
      <c r="C597" t="s">
        <v>812</v>
      </c>
      <c r="D597" t="s">
        <v>13</v>
      </c>
      <c r="E597" s="12">
        <v>1</v>
      </c>
      <c r="F597" s="154">
        <v>51</v>
      </c>
    </row>
    <row r="598" spans="2:6" x14ac:dyDescent="0.35">
      <c r="B598" s="153">
        <v>43694</v>
      </c>
      <c r="C598" t="s">
        <v>812</v>
      </c>
      <c r="D598" t="s">
        <v>17</v>
      </c>
      <c r="E598" s="12">
        <v>1</v>
      </c>
      <c r="F598" s="154">
        <v>49</v>
      </c>
    </row>
    <row r="599" spans="2:6" x14ac:dyDescent="0.35">
      <c r="B599" s="153">
        <v>43695</v>
      </c>
      <c r="C599" t="s">
        <v>813</v>
      </c>
      <c r="D599" t="s">
        <v>11</v>
      </c>
      <c r="E599" s="12">
        <v>5</v>
      </c>
      <c r="F599" s="154">
        <v>50</v>
      </c>
    </row>
    <row r="600" spans="2:6" x14ac:dyDescent="0.35">
      <c r="B600" s="153">
        <v>43696</v>
      </c>
      <c r="C600" t="s">
        <v>812</v>
      </c>
      <c r="D600" t="s">
        <v>10</v>
      </c>
      <c r="E600" s="12">
        <v>2</v>
      </c>
      <c r="F600" s="154">
        <v>36</v>
      </c>
    </row>
    <row r="601" spans="2:6" x14ac:dyDescent="0.35">
      <c r="B601" s="153">
        <v>43697</v>
      </c>
      <c r="C601" t="s">
        <v>813</v>
      </c>
      <c r="D601" t="s">
        <v>11</v>
      </c>
      <c r="E601" s="12">
        <v>3</v>
      </c>
      <c r="F601" s="154">
        <v>41</v>
      </c>
    </row>
    <row r="602" spans="2:6" x14ac:dyDescent="0.35">
      <c r="B602" s="153">
        <v>43698</v>
      </c>
      <c r="C602" t="s">
        <v>813</v>
      </c>
      <c r="D602" t="s">
        <v>17</v>
      </c>
      <c r="E602" s="12">
        <v>4</v>
      </c>
      <c r="F602" s="154">
        <v>32</v>
      </c>
    </row>
    <row r="603" spans="2:6" x14ac:dyDescent="0.35">
      <c r="B603" s="153">
        <v>43699</v>
      </c>
      <c r="C603" t="s">
        <v>813</v>
      </c>
      <c r="D603" t="s">
        <v>12</v>
      </c>
      <c r="E603" s="12">
        <v>4</v>
      </c>
      <c r="F603" s="154">
        <v>24</v>
      </c>
    </row>
    <row r="604" spans="2:6" x14ac:dyDescent="0.35">
      <c r="B604" s="153">
        <v>43700</v>
      </c>
      <c r="C604" t="s">
        <v>812</v>
      </c>
      <c r="D604" t="s">
        <v>16</v>
      </c>
      <c r="E604" s="12">
        <v>3</v>
      </c>
      <c r="F604" s="154">
        <v>63</v>
      </c>
    </row>
    <row r="605" spans="2:6" x14ac:dyDescent="0.35">
      <c r="B605" s="153">
        <v>43701</v>
      </c>
      <c r="C605" t="s">
        <v>812</v>
      </c>
      <c r="D605" t="s">
        <v>11</v>
      </c>
      <c r="E605" s="12">
        <v>4</v>
      </c>
      <c r="F605" s="154">
        <v>20</v>
      </c>
    </row>
    <row r="606" spans="2:6" x14ac:dyDescent="0.35">
      <c r="B606" s="153">
        <v>43702</v>
      </c>
      <c r="C606" t="s">
        <v>812</v>
      </c>
      <c r="D606" t="s">
        <v>15</v>
      </c>
      <c r="E606" s="12">
        <v>5</v>
      </c>
      <c r="F606" s="154">
        <v>55</v>
      </c>
    </row>
    <row r="607" spans="2:6" x14ac:dyDescent="0.35">
      <c r="B607" s="153">
        <v>43703</v>
      </c>
      <c r="C607" t="s">
        <v>812</v>
      </c>
      <c r="D607" t="s">
        <v>9</v>
      </c>
      <c r="E607" s="12">
        <v>4</v>
      </c>
      <c r="F607" s="154">
        <v>35</v>
      </c>
    </row>
    <row r="608" spans="2:6" x14ac:dyDescent="0.35">
      <c r="B608" s="153">
        <v>43704</v>
      </c>
      <c r="C608" t="s">
        <v>812</v>
      </c>
      <c r="D608" t="s">
        <v>9</v>
      </c>
      <c r="E608" s="12">
        <v>4</v>
      </c>
      <c r="F608" s="154">
        <v>65</v>
      </c>
    </row>
    <row r="609" spans="2:6" x14ac:dyDescent="0.35">
      <c r="B609" s="153">
        <v>43705</v>
      </c>
      <c r="C609" t="s">
        <v>812</v>
      </c>
      <c r="D609" t="s">
        <v>12</v>
      </c>
      <c r="E609" s="12">
        <v>4</v>
      </c>
      <c r="F609" s="154">
        <v>47</v>
      </c>
    </row>
    <row r="610" spans="2:6" x14ac:dyDescent="0.35">
      <c r="B610" s="153">
        <v>43706</v>
      </c>
      <c r="C610" t="s">
        <v>813</v>
      </c>
      <c r="D610" t="s">
        <v>16</v>
      </c>
      <c r="E610" s="12">
        <v>4</v>
      </c>
      <c r="F610" s="154">
        <v>40</v>
      </c>
    </row>
    <row r="611" spans="2:6" x14ac:dyDescent="0.35">
      <c r="B611" s="153">
        <v>43707</v>
      </c>
      <c r="C611" t="s">
        <v>813</v>
      </c>
      <c r="D611" t="s">
        <v>9</v>
      </c>
      <c r="E611" s="12">
        <v>4</v>
      </c>
      <c r="F611" s="154">
        <v>57</v>
      </c>
    </row>
    <row r="612" spans="2:6" x14ac:dyDescent="0.35">
      <c r="B612" s="153">
        <v>43708</v>
      </c>
      <c r="C612" t="s">
        <v>812</v>
      </c>
      <c r="D612" t="s">
        <v>9</v>
      </c>
      <c r="E612" s="12">
        <v>4</v>
      </c>
      <c r="F612" s="154">
        <v>23</v>
      </c>
    </row>
    <row r="613" spans="2:6" x14ac:dyDescent="0.35">
      <c r="B613" s="153">
        <v>43709</v>
      </c>
      <c r="C613" t="s">
        <v>813</v>
      </c>
      <c r="D613" t="s">
        <v>333</v>
      </c>
      <c r="E613" s="12">
        <v>2</v>
      </c>
      <c r="F613" s="154">
        <v>67</v>
      </c>
    </row>
    <row r="614" spans="2:6" x14ac:dyDescent="0.35">
      <c r="B614" s="153">
        <v>43710</v>
      </c>
      <c r="C614" t="s">
        <v>813</v>
      </c>
      <c r="D614" t="s">
        <v>12</v>
      </c>
      <c r="E614" s="12">
        <v>1</v>
      </c>
      <c r="F614" s="154">
        <v>22</v>
      </c>
    </row>
    <row r="615" spans="2:6" x14ac:dyDescent="0.35">
      <c r="B615" s="153">
        <v>43711</v>
      </c>
      <c r="C615" t="s">
        <v>812</v>
      </c>
      <c r="D615" t="s">
        <v>10</v>
      </c>
      <c r="E615" s="12">
        <v>1</v>
      </c>
      <c r="F615" s="154">
        <v>50</v>
      </c>
    </row>
    <row r="616" spans="2:6" x14ac:dyDescent="0.35">
      <c r="B616" s="153">
        <v>43712</v>
      </c>
      <c r="C616" t="s">
        <v>813</v>
      </c>
      <c r="D616" t="s">
        <v>333</v>
      </c>
      <c r="E616" s="12">
        <v>2</v>
      </c>
      <c r="F616" s="154">
        <v>70</v>
      </c>
    </row>
    <row r="617" spans="2:6" x14ac:dyDescent="0.35">
      <c r="B617" s="153">
        <v>43713</v>
      </c>
      <c r="C617" t="s">
        <v>812</v>
      </c>
      <c r="D617" t="s">
        <v>14</v>
      </c>
      <c r="E617" s="12">
        <v>1</v>
      </c>
      <c r="F617" s="154">
        <v>46</v>
      </c>
    </row>
    <row r="618" spans="2:6" x14ac:dyDescent="0.35">
      <c r="B618" s="153">
        <v>43714</v>
      </c>
      <c r="C618" t="s">
        <v>813</v>
      </c>
      <c r="D618" t="s">
        <v>333</v>
      </c>
      <c r="E618" s="12">
        <v>2</v>
      </c>
      <c r="F618" s="154">
        <v>33</v>
      </c>
    </row>
    <row r="619" spans="2:6" x14ac:dyDescent="0.35">
      <c r="B619" s="153">
        <v>43715</v>
      </c>
      <c r="C619" t="s">
        <v>812</v>
      </c>
      <c r="D619" t="s">
        <v>14</v>
      </c>
      <c r="E619" s="12">
        <v>2</v>
      </c>
      <c r="F619" s="154">
        <v>68</v>
      </c>
    </row>
    <row r="620" spans="2:6" x14ac:dyDescent="0.35">
      <c r="B620" s="153">
        <v>43716</v>
      </c>
      <c r="C620" t="s">
        <v>812</v>
      </c>
      <c r="D620" t="s">
        <v>17</v>
      </c>
      <c r="E620" s="12">
        <v>4</v>
      </c>
      <c r="F620" s="154">
        <v>33</v>
      </c>
    </row>
    <row r="621" spans="2:6" x14ac:dyDescent="0.35">
      <c r="B621" s="153">
        <v>43717</v>
      </c>
      <c r="C621" t="s">
        <v>813</v>
      </c>
      <c r="D621" t="s">
        <v>15</v>
      </c>
      <c r="E621" s="12">
        <v>2</v>
      </c>
      <c r="F621" s="154">
        <v>51</v>
      </c>
    </row>
    <row r="622" spans="2:6" x14ac:dyDescent="0.35">
      <c r="B622" s="153">
        <v>43718</v>
      </c>
      <c r="C622" t="s">
        <v>813</v>
      </c>
      <c r="D622" t="s">
        <v>11</v>
      </c>
      <c r="E622" s="12">
        <v>4</v>
      </c>
      <c r="F622" s="154">
        <v>57</v>
      </c>
    </row>
    <row r="623" spans="2:6" x14ac:dyDescent="0.35">
      <c r="B623" s="153">
        <v>43719</v>
      </c>
      <c r="C623" t="s">
        <v>813</v>
      </c>
      <c r="D623" t="s">
        <v>16</v>
      </c>
      <c r="E623" s="12">
        <v>2</v>
      </c>
      <c r="F623" s="154">
        <v>55</v>
      </c>
    </row>
    <row r="624" spans="2:6" x14ac:dyDescent="0.35">
      <c r="B624" s="153">
        <v>43720</v>
      </c>
      <c r="C624" t="s">
        <v>812</v>
      </c>
      <c r="D624" t="s">
        <v>10</v>
      </c>
      <c r="E624" s="12">
        <v>3</v>
      </c>
      <c r="F624" s="154">
        <v>52</v>
      </c>
    </row>
    <row r="625" spans="2:6" x14ac:dyDescent="0.35">
      <c r="B625" s="153">
        <v>43721</v>
      </c>
      <c r="C625" t="s">
        <v>813</v>
      </c>
      <c r="D625" t="s">
        <v>17</v>
      </c>
      <c r="E625" s="12">
        <v>2</v>
      </c>
      <c r="F625" s="154">
        <v>66</v>
      </c>
    </row>
    <row r="626" spans="2:6" x14ac:dyDescent="0.35">
      <c r="B626" s="153">
        <v>43722</v>
      </c>
      <c r="C626" t="s">
        <v>812</v>
      </c>
      <c r="D626" t="s">
        <v>16</v>
      </c>
      <c r="E626" s="12">
        <v>3</v>
      </c>
      <c r="F626" s="154">
        <v>61</v>
      </c>
    </row>
    <row r="627" spans="2:6" x14ac:dyDescent="0.35">
      <c r="B627" s="153">
        <v>43723</v>
      </c>
      <c r="C627" t="s">
        <v>812</v>
      </c>
      <c r="D627" t="s">
        <v>17</v>
      </c>
      <c r="E627" s="12">
        <v>4</v>
      </c>
      <c r="F627" s="154">
        <v>65</v>
      </c>
    </row>
    <row r="628" spans="2:6" x14ac:dyDescent="0.35">
      <c r="B628" s="153">
        <v>43724</v>
      </c>
      <c r="C628" t="s">
        <v>813</v>
      </c>
      <c r="D628" t="s">
        <v>14</v>
      </c>
      <c r="E628" s="12">
        <v>1</v>
      </c>
      <c r="F628" s="154">
        <v>70</v>
      </c>
    </row>
    <row r="629" spans="2:6" x14ac:dyDescent="0.35">
      <c r="B629" s="153">
        <v>43725</v>
      </c>
      <c r="C629" t="s">
        <v>813</v>
      </c>
      <c r="D629" t="s">
        <v>10</v>
      </c>
      <c r="E629" s="12">
        <v>3</v>
      </c>
      <c r="F629" s="154">
        <v>21</v>
      </c>
    </row>
    <row r="630" spans="2:6" x14ac:dyDescent="0.35">
      <c r="B630" s="153">
        <v>43726</v>
      </c>
      <c r="C630" t="s">
        <v>813</v>
      </c>
      <c r="D630" t="s">
        <v>15</v>
      </c>
      <c r="E630" s="12">
        <v>5</v>
      </c>
      <c r="F630" s="154">
        <v>57</v>
      </c>
    </row>
    <row r="631" spans="2:6" x14ac:dyDescent="0.35">
      <c r="B631" s="153">
        <v>43727</v>
      </c>
      <c r="C631" t="s">
        <v>812</v>
      </c>
      <c r="D631" t="s">
        <v>11</v>
      </c>
      <c r="E631" s="12">
        <v>2</v>
      </c>
      <c r="F631" s="154">
        <v>43</v>
      </c>
    </row>
    <row r="632" spans="2:6" x14ac:dyDescent="0.35">
      <c r="B632" s="153">
        <v>43728</v>
      </c>
      <c r="C632" t="s">
        <v>813</v>
      </c>
      <c r="D632" t="s">
        <v>10</v>
      </c>
      <c r="E632" s="12">
        <v>4</v>
      </c>
      <c r="F632" s="154">
        <v>52</v>
      </c>
    </row>
    <row r="633" spans="2:6" x14ac:dyDescent="0.35">
      <c r="B633" s="153">
        <v>43729</v>
      </c>
      <c r="C633" t="s">
        <v>812</v>
      </c>
      <c r="D633" t="s">
        <v>333</v>
      </c>
      <c r="E633" s="12">
        <v>2</v>
      </c>
      <c r="F633" s="154">
        <v>34</v>
      </c>
    </row>
    <row r="634" spans="2:6" x14ac:dyDescent="0.35">
      <c r="B634" s="153">
        <v>43730</v>
      </c>
      <c r="C634" t="s">
        <v>813</v>
      </c>
      <c r="D634" t="s">
        <v>16</v>
      </c>
      <c r="E634" s="12">
        <v>4</v>
      </c>
      <c r="F634" s="154">
        <v>66</v>
      </c>
    </row>
    <row r="635" spans="2:6" x14ac:dyDescent="0.35">
      <c r="B635" s="153">
        <v>43731</v>
      </c>
      <c r="C635" t="s">
        <v>813</v>
      </c>
      <c r="D635" t="s">
        <v>16</v>
      </c>
      <c r="E635" s="12">
        <v>4</v>
      </c>
      <c r="F635" s="154">
        <v>39</v>
      </c>
    </row>
    <row r="636" spans="2:6" x14ac:dyDescent="0.35">
      <c r="B636" s="153">
        <v>43732</v>
      </c>
      <c r="C636" t="s">
        <v>812</v>
      </c>
      <c r="D636" t="s">
        <v>9</v>
      </c>
      <c r="E636" s="12">
        <v>2</v>
      </c>
      <c r="F636" s="154">
        <v>17</v>
      </c>
    </row>
    <row r="637" spans="2:6" x14ac:dyDescent="0.35">
      <c r="B637" s="153">
        <v>43733</v>
      </c>
      <c r="C637" t="s">
        <v>813</v>
      </c>
      <c r="D637" t="s">
        <v>15</v>
      </c>
      <c r="E637" s="12">
        <v>1</v>
      </c>
      <c r="F637" s="154">
        <v>52</v>
      </c>
    </row>
    <row r="638" spans="2:6" x14ac:dyDescent="0.35">
      <c r="B638" s="153">
        <v>43734</v>
      </c>
      <c r="C638" t="s">
        <v>812</v>
      </c>
      <c r="D638" t="s">
        <v>10</v>
      </c>
      <c r="E638" s="12">
        <v>2</v>
      </c>
      <c r="F638" s="154">
        <v>27</v>
      </c>
    </row>
    <row r="639" spans="2:6" x14ac:dyDescent="0.35">
      <c r="B639" s="153">
        <v>43735</v>
      </c>
      <c r="C639" t="s">
        <v>812</v>
      </c>
      <c r="D639" t="s">
        <v>12</v>
      </c>
      <c r="E639" s="12">
        <v>2</v>
      </c>
      <c r="F639" s="154">
        <v>57</v>
      </c>
    </row>
    <row r="640" spans="2:6" x14ac:dyDescent="0.35">
      <c r="B640" s="153">
        <v>43736</v>
      </c>
      <c r="C640" t="s">
        <v>812</v>
      </c>
      <c r="D640" t="s">
        <v>11</v>
      </c>
      <c r="E640" s="12">
        <v>1</v>
      </c>
      <c r="F640" s="154">
        <v>51</v>
      </c>
    </row>
    <row r="641" spans="2:6" x14ac:dyDescent="0.35">
      <c r="B641" s="153">
        <v>43737</v>
      </c>
      <c r="C641" t="s">
        <v>813</v>
      </c>
      <c r="D641" t="s">
        <v>13</v>
      </c>
      <c r="E641" s="12">
        <v>3</v>
      </c>
      <c r="F641" s="154">
        <v>61</v>
      </c>
    </row>
    <row r="642" spans="2:6" x14ac:dyDescent="0.35">
      <c r="B642" s="153">
        <v>43738</v>
      </c>
      <c r="C642" t="s">
        <v>813</v>
      </c>
      <c r="D642" t="s">
        <v>10</v>
      </c>
      <c r="E642" s="12">
        <v>4</v>
      </c>
      <c r="F642" s="154">
        <v>53</v>
      </c>
    </row>
    <row r="643" spans="2:6" x14ac:dyDescent="0.35">
      <c r="B643" s="153">
        <v>43739</v>
      </c>
      <c r="C643" t="s">
        <v>813</v>
      </c>
      <c r="D643" t="s">
        <v>10</v>
      </c>
      <c r="E643" s="12">
        <v>3</v>
      </c>
      <c r="F643" s="154">
        <v>38</v>
      </c>
    </row>
    <row r="644" spans="2:6" x14ac:dyDescent="0.35">
      <c r="B644" s="153">
        <v>43740</v>
      </c>
      <c r="C644" t="s">
        <v>813</v>
      </c>
      <c r="D644" t="s">
        <v>333</v>
      </c>
      <c r="E644" s="12">
        <v>1</v>
      </c>
      <c r="F644" s="154">
        <v>52</v>
      </c>
    </row>
    <row r="645" spans="2:6" x14ac:dyDescent="0.35">
      <c r="B645" s="153">
        <v>43741</v>
      </c>
      <c r="C645" t="s">
        <v>812</v>
      </c>
      <c r="D645" t="s">
        <v>14</v>
      </c>
      <c r="E645" s="12">
        <v>4</v>
      </c>
      <c r="F645" s="154">
        <v>60</v>
      </c>
    </row>
    <row r="646" spans="2:6" x14ac:dyDescent="0.35">
      <c r="B646" s="153">
        <v>43742</v>
      </c>
      <c r="C646" t="s">
        <v>813</v>
      </c>
      <c r="D646" t="s">
        <v>11</v>
      </c>
      <c r="E646" s="12">
        <v>5</v>
      </c>
      <c r="F646" s="154">
        <v>47</v>
      </c>
    </row>
    <row r="647" spans="2:6" x14ac:dyDescent="0.35">
      <c r="B647" s="153">
        <v>43743</v>
      </c>
      <c r="C647" t="s">
        <v>813</v>
      </c>
      <c r="D647" t="s">
        <v>9</v>
      </c>
      <c r="E647" s="12">
        <v>4</v>
      </c>
      <c r="F647" s="154">
        <v>54</v>
      </c>
    </row>
    <row r="648" spans="2:6" x14ac:dyDescent="0.35">
      <c r="B648" s="153">
        <v>43744</v>
      </c>
      <c r="C648" t="s">
        <v>812</v>
      </c>
      <c r="D648" t="s">
        <v>333</v>
      </c>
      <c r="E648" s="12">
        <v>2</v>
      </c>
      <c r="F648" s="154">
        <v>36</v>
      </c>
    </row>
    <row r="649" spans="2:6" x14ac:dyDescent="0.35">
      <c r="B649" s="153">
        <v>43745</v>
      </c>
      <c r="C649" t="s">
        <v>812</v>
      </c>
      <c r="D649" t="s">
        <v>9</v>
      </c>
      <c r="E649" s="12">
        <v>1</v>
      </c>
      <c r="F649" s="154">
        <v>44</v>
      </c>
    </row>
    <row r="650" spans="2:6" x14ac:dyDescent="0.35">
      <c r="B650" s="153">
        <v>43746</v>
      </c>
      <c r="C650" t="s">
        <v>813</v>
      </c>
      <c r="D650" t="s">
        <v>333</v>
      </c>
      <c r="E650" s="12">
        <v>4</v>
      </c>
      <c r="F650" s="154">
        <v>17</v>
      </c>
    </row>
    <row r="651" spans="2:6" x14ac:dyDescent="0.35">
      <c r="B651" s="153">
        <v>43747</v>
      </c>
      <c r="C651" t="s">
        <v>812</v>
      </c>
      <c r="D651" t="s">
        <v>13</v>
      </c>
      <c r="E651" s="12">
        <v>2</v>
      </c>
      <c r="F651" s="154">
        <v>60</v>
      </c>
    </row>
    <row r="652" spans="2:6" x14ac:dyDescent="0.35">
      <c r="B652" s="153">
        <v>43748</v>
      </c>
      <c r="C652" t="s">
        <v>812</v>
      </c>
      <c r="D652" t="s">
        <v>16</v>
      </c>
      <c r="E652" s="12">
        <v>2</v>
      </c>
      <c r="F652" s="154">
        <v>49</v>
      </c>
    </row>
    <row r="653" spans="2:6" x14ac:dyDescent="0.35">
      <c r="B653" s="153">
        <v>43749</v>
      </c>
      <c r="C653" t="s">
        <v>812</v>
      </c>
      <c r="D653" t="s">
        <v>13</v>
      </c>
      <c r="E653" s="12">
        <v>2</v>
      </c>
      <c r="F653" s="154">
        <v>61</v>
      </c>
    </row>
    <row r="654" spans="2:6" x14ac:dyDescent="0.35">
      <c r="B654" s="153">
        <v>43750</v>
      </c>
      <c r="C654" t="s">
        <v>812</v>
      </c>
      <c r="D654" t="s">
        <v>16</v>
      </c>
      <c r="E654" s="12">
        <v>2</v>
      </c>
      <c r="F654" s="154">
        <v>64</v>
      </c>
    </row>
    <row r="655" spans="2:6" x14ac:dyDescent="0.35">
      <c r="B655" s="153">
        <v>43751</v>
      </c>
      <c r="C655" t="s">
        <v>812</v>
      </c>
      <c r="D655" t="s">
        <v>17</v>
      </c>
      <c r="E655" s="12">
        <v>3</v>
      </c>
      <c r="F655" s="154">
        <v>68</v>
      </c>
    </row>
    <row r="656" spans="2:6" x14ac:dyDescent="0.35">
      <c r="B656" s="153">
        <v>43752</v>
      </c>
      <c r="C656" t="s">
        <v>813</v>
      </c>
      <c r="D656" t="s">
        <v>11</v>
      </c>
      <c r="E656" s="12">
        <v>1</v>
      </c>
      <c r="F656" s="154">
        <v>45</v>
      </c>
    </row>
    <row r="657" spans="2:6" x14ac:dyDescent="0.35">
      <c r="B657" s="153">
        <v>43753</v>
      </c>
      <c r="C657" t="s">
        <v>813</v>
      </c>
      <c r="D657" t="s">
        <v>333</v>
      </c>
      <c r="E657" s="12">
        <v>4</v>
      </c>
      <c r="F657" s="154">
        <v>27</v>
      </c>
    </row>
    <row r="658" spans="2:6" x14ac:dyDescent="0.35">
      <c r="B658" s="153">
        <v>43754</v>
      </c>
      <c r="C658" t="s">
        <v>812</v>
      </c>
      <c r="D658" t="s">
        <v>15</v>
      </c>
      <c r="E658" s="12">
        <v>3</v>
      </c>
      <c r="F658" s="154">
        <v>47</v>
      </c>
    </row>
    <row r="659" spans="2:6" x14ac:dyDescent="0.35">
      <c r="B659" s="153">
        <v>43755</v>
      </c>
      <c r="C659" t="s">
        <v>813</v>
      </c>
      <c r="D659" t="s">
        <v>11</v>
      </c>
      <c r="E659" s="12">
        <v>3</v>
      </c>
      <c r="F659" s="154">
        <v>68</v>
      </c>
    </row>
    <row r="660" spans="2:6" x14ac:dyDescent="0.35">
      <c r="B660" s="153">
        <v>43756</v>
      </c>
      <c r="C660" t="s">
        <v>812</v>
      </c>
      <c r="D660" t="s">
        <v>15</v>
      </c>
      <c r="E660" s="12">
        <v>2</v>
      </c>
      <c r="F660" s="154">
        <v>24</v>
      </c>
    </row>
    <row r="661" spans="2:6" x14ac:dyDescent="0.35">
      <c r="B661" s="153">
        <v>43757</v>
      </c>
      <c r="C661" t="s">
        <v>813</v>
      </c>
      <c r="D661" t="s">
        <v>333</v>
      </c>
      <c r="E661" s="12">
        <v>1</v>
      </c>
      <c r="F661" s="154">
        <v>17</v>
      </c>
    </row>
    <row r="662" spans="2:6" x14ac:dyDescent="0.35">
      <c r="B662" s="153">
        <v>43758</v>
      </c>
      <c r="C662" t="s">
        <v>812</v>
      </c>
      <c r="D662" t="s">
        <v>13</v>
      </c>
      <c r="E662" s="12">
        <v>2</v>
      </c>
      <c r="F662" s="154">
        <v>17</v>
      </c>
    </row>
    <row r="663" spans="2:6" x14ac:dyDescent="0.35">
      <c r="B663" s="153">
        <v>43759</v>
      </c>
      <c r="C663" t="s">
        <v>813</v>
      </c>
      <c r="D663" t="s">
        <v>12</v>
      </c>
      <c r="E663" s="12">
        <v>1</v>
      </c>
      <c r="F663" s="154">
        <v>52</v>
      </c>
    </row>
    <row r="664" spans="2:6" x14ac:dyDescent="0.35">
      <c r="B664" s="153">
        <v>43760</v>
      </c>
      <c r="C664" t="s">
        <v>813</v>
      </c>
      <c r="D664" t="s">
        <v>14</v>
      </c>
      <c r="E664" s="12">
        <v>3</v>
      </c>
      <c r="F664" s="154">
        <v>69</v>
      </c>
    </row>
    <row r="665" spans="2:6" x14ac:dyDescent="0.35">
      <c r="B665" s="153">
        <v>43761</v>
      </c>
      <c r="C665" t="s">
        <v>813</v>
      </c>
      <c r="D665" t="s">
        <v>14</v>
      </c>
      <c r="E665" s="12">
        <v>2</v>
      </c>
      <c r="F665" s="154">
        <v>44</v>
      </c>
    </row>
    <row r="666" spans="2:6" x14ac:dyDescent="0.35">
      <c r="B666" s="153">
        <v>43762</v>
      </c>
      <c r="C666" t="s">
        <v>813</v>
      </c>
      <c r="D666" t="s">
        <v>15</v>
      </c>
      <c r="E666" s="12">
        <v>2</v>
      </c>
      <c r="F666" s="154">
        <v>18</v>
      </c>
    </row>
    <row r="667" spans="2:6" x14ac:dyDescent="0.35">
      <c r="B667" s="153">
        <v>43763</v>
      </c>
      <c r="C667" t="s">
        <v>812</v>
      </c>
      <c r="D667" t="s">
        <v>17</v>
      </c>
      <c r="E667" s="12">
        <v>3</v>
      </c>
      <c r="F667" s="154">
        <v>40</v>
      </c>
    </row>
    <row r="668" spans="2:6" x14ac:dyDescent="0.35">
      <c r="B668" s="153">
        <v>43764</v>
      </c>
      <c r="C668" t="s">
        <v>812</v>
      </c>
      <c r="D668" t="s">
        <v>333</v>
      </c>
      <c r="E668" s="12">
        <v>1</v>
      </c>
      <c r="F668" s="154">
        <v>44</v>
      </c>
    </row>
    <row r="669" spans="2:6" x14ac:dyDescent="0.35">
      <c r="B669" s="153">
        <v>43765</v>
      </c>
      <c r="C669" t="s">
        <v>812</v>
      </c>
      <c r="D669" t="s">
        <v>10</v>
      </c>
      <c r="E669" s="12">
        <v>2</v>
      </c>
      <c r="F669" s="154">
        <v>42</v>
      </c>
    </row>
    <row r="670" spans="2:6" x14ac:dyDescent="0.35">
      <c r="B670" s="153">
        <v>43766</v>
      </c>
      <c r="C670" t="s">
        <v>812</v>
      </c>
      <c r="D670" t="s">
        <v>16</v>
      </c>
      <c r="E670" s="12">
        <v>4</v>
      </c>
      <c r="F670" s="154">
        <v>50</v>
      </c>
    </row>
    <row r="671" spans="2:6" x14ac:dyDescent="0.35">
      <c r="B671" s="153">
        <v>43767</v>
      </c>
      <c r="C671" t="s">
        <v>813</v>
      </c>
      <c r="D671" t="s">
        <v>15</v>
      </c>
      <c r="E671" s="12">
        <v>2</v>
      </c>
      <c r="F671" s="154">
        <v>38</v>
      </c>
    </row>
    <row r="672" spans="2:6" x14ac:dyDescent="0.35">
      <c r="B672" s="153">
        <v>43768</v>
      </c>
      <c r="C672" t="s">
        <v>813</v>
      </c>
      <c r="D672" t="s">
        <v>9</v>
      </c>
      <c r="E672" s="12">
        <v>5</v>
      </c>
      <c r="F672" s="154">
        <v>59</v>
      </c>
    </row>
    <row r="673" spans="2:6" x14ac:dyDescent="0.35">
      <c r="B673" s="153">
        <v>43769</v>
      </c>
      <c r="C673" t="s">
        <v>812</v>
      </c>
      <c r="D673" t="s">
        <v>10</v>
      </c>
      <c r="E673" s="12">
        <v>1</v>
      </c>
      <c r="F673" s="154">
        <v>18</v>
      </c>
    </row>
    <row r="674" spans="2:6" x14ac:dyDescent="0.35">
      <c r="B674" s="153">
        <v>43770</v>
      </c>
      <c r="C674" t="s">
        <v>813</v>
      </c>
      <c r="D674" t="s">
        <v>17</v>
      </c>
      <c r="E674" s="12">
        <v>3</v>
      </c>
      <c r="F674" s="154">
        <v>65</v>
      </c>
    </row>
    <row r="675" spans="2:6" x14ac:dyDescent="0.35">
      <c r="B675" s="153">
        <v>43771</v>
      </c>
      <c r="C675" t="s">
        <v>813</v>
      </c>
      <c r="D675" t="s">
        <v>11</v>
      </c>
      <c r="E675" s="12">
        <v>3</v>
      </c>
      <c r="F675" s="154">
        <v>27</v>
      </c>
    </row>
    <row r="676" spans="2:6" x14ac:dyDescent="0.35">
      <c r="B676" s="153">
        <v>43772</v>
      </c>
      <c r="C676" t="s">
        <v>812</v>
      </c>
      <c r="D676" t="s">
        <v>15</v>
      </c>
      <c r="E676" s="12">
        <v>3</v>
      </c>
      <c r="F676" s="154">
        <v>42</v>
      </c>
    </row>
    <row r="677" spans="2:6" x14ac:dyDescent="0.35">
      <c r="B677" s="153">
        <v>43773</v>
      </c>
      <c r="C677" t="s">
        <v>813</v>
      </c>
      <c r="D677" t="s">
        <v>16</v>
      </c>
      <c r="E677" s="12">
        <v>3</v>
      </c>
      <c r="F677" s="154">
        <v>27</v>
      </c>
    </row>
    <row r="678" spans="2:6" x14ac:dyDescent="0.35">
      <c r="B678" s="153">
        <v>43774</v>
      </c>
      <c r="C678" t="s">
        <v>813</v>
      </c>
      <c r="D678" t="s">
        <v>12</v>
      </c>
      <c r="E678" s="12">
        <v>2</v>
      </c>
      <c r="F678" s="154">
        <v>50</v>
      </c>
    </row>
    <row r="679" spans="2:6" x14ac:dyDescent="0.35">
      <c r="B679" s="153">
        <v>43775</v>
      </c>
      <c r="C679" t="s">
        <v>812</v>
      </c>
      <c r="D679" t="s">
        <v>10</v>
      </c>
      <c r="E679" s="12">
        <v>4</v>
      </c>
      <c r="F679" s="154">
        <v>70</v>
      </c>
    </row>
    <row r="680" spans="2:6" x14ac:dyDescent="0.35">
      <c r="B680" s="153">
        <v>43776</v>
      </c>
      <c r="C680" t="s">
        <v>813</v>
      </c>
      <c r="D680" t="s">
        <v>13</v>
      </c>
      <c r="E680" s="12">
        <v>4</v>
      </c>
      <c r="F680" s="154">
        <v>43</v>
      </c>
    </row>
    <row r="681" spans="2:6" x14ac:dyDescent="0.35">
      <c r="B681" s="153">
        <v>43777</v>
      </c>
      <c r="C681" t="s">
        <v>812</v>
      </c>
      <c r="D681" t="s">
        <v>9</v>
      </c>
      <c r="E681" s="12">
        <v>5</v>
      </c>
      <c r="F681" s="154">
        <v>54</v>
      </c>
    </row>
    <row r="682" spans="2:6" x14ac:dyDescent="0.35">
      <c r="B682" s="153">
        <v>43778</v>
      </c>
      <c r="C682" t="s">
        <v>812</v>
      </c>
      <c r="D682" t="s">
        <v>10</v>
      </c>
      <c r="E682" s="12">
        <v>5</v>
      </c>
      <c r="F682" s="154">
        <v>41</v>
      </c>
    </row>
    <row r="683" spans="2:6" x14ac:dyDescent="0.35">
      <c r="B683" s="153">
        <v>43779</v>
      </c>
      <c r="C683" t="s">
        <v>812</v>
      </c>
      <c r="D683" t="s">
        <v>14</v>
      </c>
      <c r="E683" s="12">
        <v>3</v>
      </c>
      <c r="F683" s="154">
        <v>19</v>
      </c>
    </row>
    <row r="684" spans="2:6" x14ac:dyDescent="0.35">
      <c r="B684" s="153">
        <v>43780</v>
      </c>
      <c r="C684" t="s">
        <v>813</v>
      </c>
      <c r="D684" t="s">
        <v>10</v>
      </c>
      <c r="E684" s="12">
        <v>4</v>
      </c>
      <c r="F684" s="154">
        <v>28</v>
      </c>
    </row>
    <row r="685" spans="2:6" x14ac:dyDescent="0.35">
      <c r="B685" s="153">
        <v>43781</v>
      </c>
      <c r="C685" t="s">
        <v>813</v>
      </c>
      <c r="D685" t="s">
        <v>13</v>
      </c>
      <c r="E685" s="12">
        <v>3</v>
      </c>
      <c r="F685" s="154">
        <v>34</v>
      </c>
    </row>
    <row r="686" spans="2:6" x14ac:dyDescent="0.35">
      <c r="B686" s="153">
        <v>43782</v>
      </c>
      <c r="C686" t="s">
        <v>813</v>
      </c>
      <c r="D686" t="s">
        <v>12</v>
      </c>
      <c r="E686" s="12">
        <v>3</v>
      </c>
      <c r="F686" s="154">
        <v>69</v>
      </c>
    </row>
    <row r="687" spans="2:6" x14ac:dyDescent="0.35">
      <c r="B687" s="153">
        <v>43783</v>
      </c>
      <c r="C687" t="s">
        <v>813</v>
      </c>
      <c r="D687" t="s">
        <v>14</v>
      </c>
      <c r="E687" s="12">
        <v>5</v>
      </c>
      <c r="F687" s="154">
        <v>35</v>
      </c>
    </row>
    <row r="688" spans="2:6" x14ac:dyDescent="0.35">
      <c r="B688" s="153">
        <v>43784</v>
      </c>
      <c r="C688" t="s">
        <v>813</v>
      </c>
      <c r="D688" t="s">
        <v>17</v>
      </c>
      <c r="E688" s="12">
        <v>4</v>
      </c>
      <c r="F688" s="154">
        <v>40</v>
      </c>
    </row>
    <row r="689" spans="2:6" x14ac:dyDescent="0.35">
      <c r="B689" s="153">
        <v>43785</v>
      </c>
      <c r="C689" t="s">
        <v>813</v>
      </c>
      <c r="D689" t="s">
        <v>11</v>
      </c>
      <c r="E689" s="12">
        <v>4</v>
      </c>
      <c r="F689" s="154">
        <v>21</v>
      </c>
    </row>
    <row r="690" spans="2:6" x14ac:dyDescent="0.35">
      <c r="B690" s="153">
        <v>43786</v>
      </c>
      <c r="C690" t="s">
        <v>813</v>
      </c>
      <c r="D690" t="s">
        <v>16</v>
      </c>
      <c r="E690" s="12">
        <v>1</v>
      </c>
      <c r="F690" s="154">
        <v>43</v>
      </c>
    </row>
    <row r="691" spans="2:6" x14ac:dyDescent="0.35">
      <c r="B691" s="153">
        <v>43787</v>
      </c>
      <c r="C691" t="s">
        <v>813</v>
      </c>
      <c r="D691" t="s">
        <v>14</v>
      </c>
      <c r="E691" s="12">
        <v>3</v>
      </c>
      <c r="F691" s="154">
        <v>37</v>
      </c>
    </row>
    <row r="692" spans="2:6" x14ac:dyDescent="0.35">
      <c r="B692" s="153">
        <v>43788</v>
      </c>
      <c r="C692" t="s">
        <v>812</v>
      </c>
      <c r="D692" t="s">
        <v>12</v>
      </c>
      <c r="E692" s="12">
        <v>1</v>
      </c>
      <c r="F692" s="154">
        <v>62</v>
      </c>
    </row>
    <row r="693" spans="2:6" x14ac:dyDescent="0.35">
      <c r="B693" s="153">
        <v>43789</v>
      </c>
      <c r="C693" t="s">
        <v>812</v>
      </c>
      <c r="D693" t="s">
        <v>13</v>
      </c>
      <c r="E693" s="12">
        <v>1</v>
      </c>
      <c r="F693" s="154">
        <v>63</v>
      </c>
    </row>
    <row r="694" spans="2:6" x14ac:dyDescent="0.35">
      <c r="B694" s="153">
        <v>43790</v>
      </c>
      <c r="C694" t="s">
        <v>813</v>
      </c>
      <c r="D694" t="s">
        <v>15</v>
      </c>
      <c r="E694" s="12">
        <v>4</v>
      </c>
      <c r="F694" s="154">
        <v>29</v>
      </c>
    </row>
    <row r="695" spans="2:6" x14ac:dyDescent="0.35">
      <c r="B695" s="153">
        <v>43791</v>
      </c>
      <c r="C695" t="s">
        <v>812</v>
      </c>
      <c r="D695" t="s">
        <v>15</v>
      </c>
      <c r="E695" s="12">
        <v>5</v>
      </c>
      <c r="F695" s="154">
        <v>55</v>
      </c>
    </row>
    <row r="696" spans="2:6" x14ac:dyDescent="0.35">
      <c r="B696" s="153">
        <v>43792</v>
      </c>
      <c r="C696" t="s">
        <v>813</v>
      </c>
      <c r="D696" t="s">
        <v>17</v>
      </c>
      <c r="E696" s="12">
        <v>1</v>
      </c>
      <c r="F696" s="154">
        <v>15</v>
      </c>
    </row>
    <row r="697" spans="2:6" x14ac:dyDescent="0.35">
      <c r="B697" s="153">
        <v>43793</v>
      </c>
      <c r="C697" t="s">
        <v>813</v>
      </c>
      <c r="D697" t="s">
        <v>10</v>
      </c>
      <c r="E697" s="12">
        <v>5</v>
      </c>
      <c r="F697" s="154">
        <v>31</v>
      </c>
    </row>
    <row r="698" spans="2:6" x14ac:dyDescent="0.35">
      <c r="B698" s="153">
        <v>43794</v>
      </c>
      <c r="C698" t="s">
        <v>812</v>
      </c>
      <c r="D698" t="s">
        <v>14</v>
      </c>
      <c r="E698" s="12">
        <v>3</v>
      </c>
      <c r="F698" s="154">
        <v>35</v>
      </c>
    </row>
    <row r="699" spans="2:6" x14ac:dyDescent="0.35">
      <c r="B699" s="153">
        <v>43795</v>
      </c>
      <c r="C699" t="s">
        <v>812</v>
      </c>
      <c r="D699" t="s">
        <v>9</v>
      </c>
      <c r="E699" s="12">
        <v>4</v>
      </c>
      <c r="F699" s="154">
        <v>30</v>
      </c>
    </row>
    <row r="700" spans="2:6" x14ac:dyDescent="0.35">
      <c r="B700" s="153">
        <v>43796</v>
      </c>
      <c r="C700" t="s">
        <v>812</v>
      </c>
      <c r="D700" t="s">
        <v>12</v>
      </c>
      <c r="E700" s="12">
        <v>3</v>
      </c>
      <c r="F700" s="154">
        <v>60</v>
      </c>
    </row>
    <row r="701" spans="2:6" x14ac:dyDescent="0.35">
      <c r="B701" s="153">
        <v>43797</v>
      </c>
      <c r="C701" t="s">
        <v>813</v>
      </c>
      <c r="D701" t="s">
        <v>16</v>
      </c>
      <c r="E701" s="12">
        <v>4</v>
      </c>
      <c r="F701" s="154">
        <v>22</v>
      </c>
    </row>
    <row r="702" spans="2:6" x14ac:dyDescent="0.35">
      <c r="B702" s="153">
        <v>43798</v>
      </c>
      <c r="C702" t="s">
        <v>812</v>
      </c>
      <c r="D702" t="s">
        <v>333</v>
      </c>
      <c r="E702" s="12">
        <v>5</v>
      </c>
      <c r="F702" s="154">
        <v>25</v>
      </c>
    </row>
    <row r="703" spans="2:6" x14ac:dyDescent="0.35">
      <c r="B703" s="153">
        <v>43799</v>
      </c>
      <c r="C703" t="s">
        <v>813</v>
      </c>
      <c r="D703" t="s">
        <v>12</v>
      </c>
      <c r="E703" s="12">
        <v>2</v>
      </c>
      <c r="F703" s="154">
        <v>36</v>
      </c>
    </row>
    <row r="704" spans="2:6" x14ac:dyDescent="0.35">
      <c r="B704" s="153">
        <v>43800</v>
      </c>
      <c r="C704" t="s">
        <v>812</v>
      </c>
      <c r="D704" t="s">
        <v>17</v>
      </c>
      <c r="E704" s="12">
        <v>5</v>
      </c>
      <c r="F704" s="154">
        <v>47</v>
      </c>
    </row>
    <row r="705" spans="2:6" x14ac:dyDescent="0.35">
      <c r="B705" s="153">
        <v>43801</v>
      </c>
      <c r="C705" t="s">
        <v>812</v>
      </c>
      <c r="D705" t="s">
        <v>15</v>
      </c>
      <c r="E705" s="12">
        <v>4</v>
      </c>
      <c r="F705" s="154">
        <v>20</v>
      </c>
    </row>
    <row r="706" spans="2:6" x14ac:dyDescent="0.35">
      <c r="B706" s="153">
        <v>43802</v>
      </c>
      <c r="C706" t="s">
        <v>812</v>
      </c>
      <c r="D706" t="s">
        <v>12</v>
      </c>
      <c r="E706" s="12">
        <v>4</v>
      </c>
      <c r="F706" s="154">
        <v>63</v>
      </c>
    </row>
    <row r="707" spans="2:6" x14ac:dyDescent="0.35">
      <c r="B707" s="153">
        <v>43803</v>
      </c>
      <c r="C707" t="s">
        <v>813</v>
      </c>
      <c r="D707" t="s">
        <v>9</v>
      </c>
      <c r="E707" s="12">
        <v>1</v>
      </c>
      <c r="F707" s="154">
        <v>67</v>
      </c>
    </row>
    <row r="708" spans="2:6" x14ac:dyDescent="0.35">
      <c r="B708" s="153">
        <v>43804</v>
      </c>
      <c r="C708" t="s">
        <v>812</v>
      </c>
      <c r="D708" t="s">
        <v>333</v>
      </c>
      <c r="E708" s="12">
        <v>5</v>
      </c>
      <c r="F708" s="154">
        <v>38</v>
      </c>
    </row>
    <row r="709" spans="2:6" x14ac:dyDescent="0.35">
      <c r="B709" s="153">
        <v>43805</v>
      </c>
      <c r="C709" t="s">
        <v>813</v>
      </c>
      <c r="D709" t="s">
        <v>13</v>
      </c>
      <c r="E709" s="12">
        <v>4</v>
      </c>
      <c r="F709" s="154">
        <v>26</v>
      </c>
    </row>
    <row r="710" spans="2:6" x14ac:dyDescent="0.35">
      <c r="B710" s="153">
        <v>43806</v>
      </c>
      <c r="C710" t="s">
        <v>813</v>
      </c>
      <c r="D710" t="s">
        <v>17</v>
      </c>
      <c r="E710" s="12">
        <v>2</v>
      </c>
      <c r="F710" s="154">
        <v>40</v>
      </c>
    </row>
    <row r="711" spans="2:6" x14ac:dyDescent="0.35">
      <c r="B711" s="153">
        <v>43807</v>
      </c>
      <c r="C711" t="s">
        <v>813</v>
      </c>
      <c r="D711" t="s">
        <v>9</v>
      </c>
      <c r="E711" s="12">
        <v>2</v>
      </c>
      <c r="F711" s="154">
        <v>57</v>
      </c>
    </row>
    <row r="712" spans="2:6" x14ac:dyDescent="0.35">
      <c r="B712" s="153">
        <v>43808</v>
      </c>
      <c r="C712" t="s">
        <v>813</v>
      </c>
      <c r="D712" t="s">
        <v>9</v>
      </c>
      <c r="E712" s="12">
        <v>2</v>
      </c>
      <c r="F712" s="154">
        <v>30</v>
      </c>
    </row>
    <row r="713" spans="2:6" x14ac:dyDescent="0.35">
      <c r="B713" s="153">
        <v>43809</v>
      </c>
      <c r="C713" t="s">
        <v>813</v>
      </c>
      <c r="D713" t="s">
        <v>16</v>
      </c>
      <c r="E713" s="12">
        <v>5</v>
      </c>
      <c r="F713" s="154">
        <v>47</v>
      </c>
    </row>
    <row r="714" spans="2:6" x14ac:dyDescent="0.35">
      <c r="B714" s="153">
        <v>43810</v>
      </c>
      <c r="C714" t="s">
        <v>813</v>
      </c>
      <c r="D714" t="s">
        <v>9</v>
      </c>
      <c r="E714" s="12">
        <v>1</v>
      </c>
      <c r="F714" s="154">
        <v>26</v>
      </c>
    </row>
    <row r="715" spans="2:6" x14ac:dyDescent="0.35">
      <c r="B715" s="153">
        <v>43811</v>
      </c>
      <c r="C715" t="s">
        <v>813</v>
      </c>
      <c r="D715" t="s">
        <v>15</v>
      </c>
      <c r="E715" s="12">
        <v>1</v>
      </c>
      <c r="F715" s="154">
        <v>50</v>
      </c>
    </row>
    <row r="716" spans="2:6" x14ac:dyDescent="0.35">
      <c r="B716" s="153">
        <v>43812</v>
      </c>
      <c r="C716" t="s">
        <v>812</v>
      </c>
      <c r="D716" t="s">
        <v>14</v>
      </c>
      <c r="E716" s="12">
        <v>1</v>
      </c>
      <c r="F716" s="154">
        <v>23</v>
      </c>
    </row>
    <row r="717" spans="2:6" x14ac:dyDescent="0.35">
      <c r="B717" s="153">
        <v>43813</v>
      </c>
      <c r="C717" t="s">
        <v>812</v>
      </c>
      <c r="D717" t="s">
        <v>9</v>
      </c>
      <c r="E717" s="12">
        <v>2</v>
      </c>
      <c r="F717" s="154">
        <v>69</v>
      </c>
    </row>
    <row r="718" spans="2:6" x14ac:dyDescent="0.35">
      <c r="B718" s="153">
        <v>43814</v>
      </c>
      <c r="C718" t="s">
        <v>812</v>
      </c>
      <c r="D718" t="s">
        <v>16</v>
      </c>
      <c r="E718" s="12">
        <v>3</v>
      </c>
      <c r="F718" s="154">
        <v>59</v>
      </c>
    </row>
    <row r="719" spans="2:6" x14ac:dyDescent="0.35">
      <c r="B719" s="153">
        <v>43815</v>
      </c>
      <c r="C719" t="s">
        <v>813</v>
      </c>
      <c r="D719" t="s">
        <v>17</v>
      </c>
      <c r="E719" s="12">
        <v>3</v>
      </c>
      <c r="F719" s="154">
        <v>67</v>
      </c>
    </row>
    <row r="720" spans="2:6" x14ac:dyDescent="0.35">
      <c r="B720" s="153">
        <v>43816</v>
      </c>
      <c r="C720" t="s">
        <v>813</v>
      </c>
      <c r="D720" t="s">
        <v>12</v>
      </c>
      <c r="E720" s="12">
        <v>1</v>
      </c>
      <c r="F720" s="154">
        <v>43</v>
      </c>
    </row>
    <row r="721" spans="2:6" x14ac:dyDescent="0.35">
      <c r="B721" s="153">
        <v>43817</v>
      </c>
      <c r="C721" t="s">
        <v>812</v>
      </c>
      <c r="D721" t="s">
        <v>11</v>
      </c>
      <c r="E721" s="12">
        <v>4</v>
      </c>
      <c r="F721" s="154">
        <v>40</v>
      </c>
    </row>
    <row r="722" spans="2:6" x14ac:dyDescent="0.35">
      <c r="B722" s="153">
        <v>43818</v>
      </c>
      <c r="C722" t="s">
        <v>813</v>
      </c>
      <c r="D722" t="s">
        <v>13</v>
      </c>
      <c r="E722" s="12">
        <v>5</v>
      </c>
      <c r="F722" s="154">
        <v>28</v>
      </c>
    </row>
    <row r="723" spans="2:6" x14ac:dyDescent="0.35">
      <c r="B723" s="153">
        <v>43819</v>
      </c>
      <c r="C723" t="s">
        <v>813</v>
      </c>
      <c r="D723" t="s">
        <v>9</v>
      </c>
      <c r="E723" s="12">
        <v>1</v>
      </c>
      <c r="F723" s="154">
        <v>21</v>
      </c>
    </row>
    <row r="724" spans="2:6" x14ac:dyDescent="0.35">
      <c r="B724" s="153">
        <v>43820</v>
      </c>
      <c r="C724" t="s">
        <v>813</v>
      </c>
      <c r="D724" t="s">
        <v>11</v>
      </c>
      <c r="E724" s="12">
        <v>1</v>
      </c>
      <c r="F724" s="154">
        <v>19</v>
      </c>
    </row>
    <row r="725" spans="2:6" x14ac:dyDescent="0.35">
      <c r="B725" s="153">
        <v>43821</v>
      </c>
      <c r="C725" t="s">
        <v>812</v>
      </c>
      <c r="D725" t="s">
        <v>10</v>
      </c>
      <c r="E725" s="12">
        <v>5</v>
      </c>
      <c r="F725" s="154">
        <v>21</v>
      </c>
    </row>
    <row r="726" spans="2:6" x14ac:dyDescent="0.35">
      <c r="B726" s="153">
        <v>43822</v>
      </c>
      <c r="C726" t="s">
        <v>812</v>
      </c>
      <c r="D726" t="s">
        <v>15</v>
      </c>
      <c r="E726" s="12">
        <v>2</v>
      </c>
      <c r="F726" s="154">
        <v>17</v>
      </c>
    </row>
    <row r="727" spans="2:6" x14ac:dyDescent="0.35">
      <c r="B727" s="153">
        <v>43823</v>
      </c>
      <c r="C727" t="s">
        <v>813</v>
      </c>
      <c r="D727" t="s">
        <v>9</v>
      </c>
      <c r="E727" s="12">
        <v>3</v>
      </c>
      <c r="F727" s="154">
        <v>26</v>
      </c>
    </row>
    <row r="728" spans="2:6" x14ac:dyDescent="0.35">
      <c r="B728" s="153">
        <v>43824</v>
      </c>
      <c r="C728" t="s">
        <v>812</v>
      </c>
      <c r="D728" t="s">
        <v>16</v>
      </c>
      <c r="E728" s="12">
        <v>5</v>
      </c>
      <c r="F728" s="154">
        <v>62</v>
      </c>
    </row>
    <row r="729" spans="2:6" x14ac:dyDescent="0.35">
      <c r="B729" s="153">
        <v>43825</v>
      </c>
      <c r="C729" t="s">
        <v>813</v>
      </c>
      <c r="D729" t="s">
        <v>16</v>
      </c>
      <c r="E729" s="12">
        <v>4</v>
      </c>
      <c r="F729" s="154">
        <v>69</v>
      </c>
    </row>
    <row r="730" spans="2:6" x14ac:dyDescent="0.35">
      <c r="B730" s="153">
        <v>43826</v>
      </c>
      <c r="C730" t="s">
        <v>812</v>
      </c>
      <c r="D730" t="s">
        <v>333</v>
      </c>
      <c r="E730" s="12">
        <v>5</v>
      </c>
      <c r="F730" s="154">
        <v>22</v>
      </c>
    </row>
    <row r="731" spans="2:6" x14ac:dyDescent="0.35">
      <c r="B731" s="153">
        <v>43827</v>
      </c>
      <c r="C731" t="s">
        <v>812</v>
      </c>
      <c r="D731" t="s">
        <v>9</v>
      </c>
      <c r="E731" s="12">
        <v>3</v>
      </c>
      <c r="F731" s="154">
        <v>22</v>
      </c>
    </row>
    <row r="732" spans="2:6" x14ac:dyDescent="0.35">
      <c r="B732" s="153">
        <v>43828</v>
      </c>
      <c r="C732" t="s">
        <v>813</v>
      </c>
      <c r="D732" t="s">
        <v>14</v>
      </c>
      <c r="E732" s="12">
        <v>1</v>
      </c>
      <c r="F732" s="154">
        <v>60</v>
      </c>
    </row>
    <row r="733" spans="2:6" x14ac:dyDescent="0.35">
      <c r="B733" s="153">
        <v>43829</v>
      </c>
      <c r="C733" t="s">
        <v>812</v>
      </c>
      <c r="D733" t="s">
        <v>15</v>
      </c>
      <c r="E733" s="12">
        <v>1</v>
      </c>
      <c r="F733" s="154">
        <v>57</v>
      </c>
    </row>
    <row r="734" spans="2:6" x14ac:dyDescent="0.35">
      <c r="B734" s="153">
        <v>43830</v>
      </c>
      <c r="C734" t="s">
        <v>812</v>
      </c>
      <c r="D734" t="s">
        <v>13</v>
      </c>
      <c r="E734" s="12">
        <v>3</v>
      </c>
      <c r="F734" s="154">
        <v>68</v>
      </c>
    </row>
    <row r="735" spans="2:6" x14ac:dyDescent="0.35">
      <c r="B735" s="153">
        <v>43831</v>
      </c>
      <c r="C735" t="s">
        <v>812</v>
      </c>
      <c r="D735" t="s">
        <v>11</v>
      </c>
      <c r="E735" s="12">
        <v>1</v>
      </c>
      <c r="F735" s="154">
        <v>39</v>
      </c>
    </row>
    <row r="736" spans="2:6" x14ac:dyDescent="0.35">
      <c r="B736" s="153">
        <v>43832</v>
      </c>
      <c r="C736" t="s">
        <v>813</v>
      </c>
      <c r="D736" t="s">
        <v>10</v>
      </c>
      <c r="E736" s="12">
        <v>4</v>
      </c>
      <c r="F736" s="154">
        <v>31</v>
      </c>
    </row>
    <row r="737" spans="2:6" x14ac:dyDescent="0.35">
      <c r="B737" s="153">
        <v>43833</v>
      </c>
      <c r="C737" t="s">
        <v>813</v>
      </c>
      <c r="D737" t="s">
        <v>15</v>
      </c>
      <c r="E737" s="12">
        <v>1</v>
      </c>
      <c r="F737" s="154">
        <v>58</v>
      </c>
    </row>
    <row r="738" spans="2:6" x14ac:dyDescent="0.35">
      <c r="B738" s="153">
        <v>43834</v>
      </c>
      <c r="C738" t="s">
        <v>813</v>
      </c>
      <c r="D738" t="s">
        <v>10</v>
      </c>
      <c r="E738" s="12">
        <v>1</v>
      </c>
      <c r="F738" s="154">
        <v>20</v>
      </c>
    </row>
    <row r="739" spans="2:6" x14ac:dyDescent="0.35">
      <c r="B739" s="153">
        <v>43835</v>
      </c>
      <c r="C739" t="s">
        <v>812</v>
      </c>
      <c r="D739" t="s">
        <v>11</v>
      </c>
      <c r="E739" s="12">
        <v>5</v>
      </c>
      <c r="F739" s="154">
        <v>60</v>
      </c>
    </row>
    <row r="740" spans="2:6" x14ac:dyDescent="0.35">
      <c r="B740" s="153">
        <v>43836</v>
      </c>
      <c r="C740" t="s">
        <v>813</v>
      </c>
      <c r="D740" t="s">
        <v>13</v>
      </c>
      <c r="E740" s="12">
        <v>1</v>
      </c>
      <c r="F740" s="154">
        <v>50</v>
      </c>
    </row>
    <row r="741" spans="2:6" x14ac:dyDescent="0.35">
      <c r="B741" s="153">
        <v>43837</v>
      </c>
      <c r="C741" t="s">
        <v>813</v>
      </c>
      <c r="D741" t="s">
        <v>9</v>
      </c>
      <c r="E741" s="12">
        <v>4</v>
      </c>
      <c r="F741" s="154">
        <v>38</v>
      </c>
    </row>
    <row r="742" spans="2:6" x14ac:dyDescent="0.35">
      <c r="B742" s="153">
        <v>43838</v>
      </c>
      <c r="C742" t="s">
        <v>812</v>
      </c>
      <c r="D742" t="s">
        <v>17</v>
      </c>
      <c r="E742" s="12">
        <v>2</v>
      </c>
      <c r="F742" s="154">
        <v>32</v>
      </c>
    </row>
    <row r="743" spans="2:6" x14ac:dyDescent="0.35">
      <c r="B743" s="153">
        <v>43839</v>
      </c>
      <c r="C743" t="s">
        <v>813</v>
      </c>
      <c r="D743" t="s">
        <v>9</v>
      </c>
      <c r="E743" s="12">
        <v>2</v>
      </c>
      <c r="F743" s="154">
        <v>29</v>
      </c>
    </row>
    <row r="744" spans="2:6" x14ac:dyDescent="0.35">
      <c r="B744" s="153">
        <v>43840</v>
      </c>
      <c r="C744" t="s">
        <v>813</v>
      </c>
      <c r="D744" t="s">
        <v>10</v>
      </c>
      <c r="E744" s="12">
        <v>1</v>
      </c>
      <c r="F744" s="154">
        <v>34</v>
      </c>
    </row>
    <row r="745" spans="2:6" x14ac:dyDescent="0.35">
      <c r="B745" s="153">
        <v>43841</v>
      </c>
      <c r="C745" t="s">
        <v>813</v>
      </c>
      <c r="D745" t="s">
        <v>10</v>
      </c>
      <c r="E745" s="12">
        <v>2</v>
      </c>
      <c r="F745" s="154">
        <v>61</v>
      </c>
    </row>
    <row r="746" spans="2:6" x14ac:dyDescent="0.35">
      <c r="B746" s="153">
        <v>43842</v>
      </c>
      <c r="C746" t="s">
        <v>812</v>
      </c>
      <c r="D746" t="s">
        <v>12</v>
      </c>
      <c r="E746" s="12">
        <v>1</v>
      </c>
      <c r="F746" s="154">
        <v>39</v>
      </c>
    </row>
    <row r="747" spans="2:6" x14ac:dyDescent="0.35">
      <c r="B747" s="153">
        <v>43843</v>
      </c>
      <c r="C747" t="s">
        <v>813</v>
      </c>
      <c r="D747" t="s">
        <v>9</v>
      </c>
      <c r="E747" s="12">
        <v>1</v>
      </c>
      <c r="F747" s="154">
        <v>32</v>
      </c>
    </row>
    <row r="748" spans="2:6" x14ac:dyDescent="0.35">
      <c r="B748" s="153">
        <v>43844</v>
      </c>
      <c r="C748" t="s">
        <v>812</v>
      </c>
      <c r="D748" t="s">
        <v>13</v>
      </c>
      <c r="E748" s="12">
        <v>3</v>
      </c>
      <c r="F748" s="154">
        <v>54</v>
      </c>
    </row>
    <row r="749" spans="2:6" x14ac:dyDescent="0.35">
      <c r="B749" s="153">
        <v>43845</v>
      </c>
      <c r="C749" t="s">
        <v>812</v>
      </c>
      <c r="D749" t="s">
        <v>333</v>
      </c>
      <c r="E749" s="12">
        <v>3</v>
      </c>
      <c r="F749" s="154">
        <v>59</v>
      </c>
    </row>
    <row r="750" spans="2:6" x14ac:dyDescent="0.35">
      <c r="B750" s="153">
        <v>43846</v>
      </c>
      <c r="C750" t="s">
        <v>813</v>
      </c>
      <c r="D750" t="s">
        <v>13</v>
      </c>
      <c r="E750" s="12">
        <v>2</v>
      </c>
      <c r="F750" s="154">
        <v>65</v>
      </c>
    </row>
    <row r="751" spans="2:6" x14ac:dyDescent="0.35">
      <c r="B751" s="153">
        <v>43847</v>
      </c>
      <c r="C751" t="s">
        <v>813</v>
      </c>
      <c r="D751" t="s">
        <v>10</v>
      </c>
      <c r="E751" s="12">
        <v>2</v>
      </c>
      <c r="F751" s="154">
        <v>18</v>
      </c>
    </row>
    <row r="752" spans="2:6" x14ac:dyDescent="0.35">
      <c r="B752" s="153">
        <v>43848</v>
      </c>
      <c r="C752" t="s">
        <v>813</v>
      </c>
      <c r="D752" t="s">
        <v>10</v>
      </c>
      <c r="E752" s="12">
        <v>1</v>
      </c>
      <c r="F752" s="154">
        <v>32</v>
      </c>
    </row>
    <row r="753" spans="2:6" x14ac:dyDescent="0.35">
      <c r="B753" s="153">
        <v>43849</v>
      </c>
      <c r="C753" t="s">
        <v>813</v>
      </c>
      <c r="D753" t="s">
        <v>17</v>
      </c>
      <c r="E753" s="12">
        <v>3</v>
      </c>
      <c r="F753" s="154">
        <v>68</v>
      </c>
    </row>
    <row r="754" spans="2:6" x14ac:dyDescent="0.35">
      <c r="B754" s="153">
        <v>43850</v>
      </c>
      <c r="C754" t="s">
        <v>812</v>
      </c>
      <c r="D754" t="s">
        <v>13</v>
      </c>
      <c r="E754" s="12">
        <v>3</v>
      </c>
      <c r="F754" s="154">
        <v>30</v>
      </c>
    </row>
    <row r="755" spans="2:6" x14ac:dyDescent="0.35">
      <c r="B755" s="153">
        <v>43851</v>
      </c>
      <c r="C755" t="s">
        <v>813</v>
      </c>
      <c r="D755" t="s">
        <v>12</v>
      </c>
      <c r="E755" s="12">
        <v>5</v>
      </c>
      <c r="F755" s="154">
        <v>36</v>
      </c>
    </row>
    <row r="756" spans="2:6" x14ac:dyDescent="0.35">
      <c r="B756" s="153">
        <v>43852</v>
      </c>
      <c r="C756" t="s">
        <v>812</v>
      </c>
      <c r="D756" t="s">
        <v>15</v>
      </c>
      <c r="E756" s="12">
        <v>4</v>
      </c>
      <c r="F756" s="154">
        <v>43</v>
      </c>
    </row>
    <row r="757" spans="2:6" x14ac:dyDescent="0.35">
      <c r="B757" s="153">
        <v>43853</v>
      </c>
      <c r="C757" t="s">
        <v>812</v>
      </c>
      <c r="D757" t="s">
        <v>12</v>
      </c>
      <c r="E757" s="12">
        <v>2</v>
      </c>
      <c r="F757" s="154">
        <v>52</v>
      </c>
    </row>
    <row r="758" spans="2:6" x14ac:dyDescent="0.35">
      <c r="B758" s="153">
        <v>43854</v>
      </c>
      <c r="C758" t="s">
        <v>813</v>
      </c>
      <c r="D758" t="s">
        <v>16</v>
      </c>
      <c r="E758" s="12">
        <v>2</v>
      </c>
      <c r="F758" s="154">
        <v>43</v>
      </c>
    </row>
    <row r="759" spans="2:6" x14ac:dyDescent="0.35">
      <c r="B759" s="153">
        <v>43855</v>
      </c>
      <c r="C759" t="s">
        <v>812</v>
      </c>
      <c r="D759" t="s">
        <v>16</v>
      </c>
      <c r="E759" s="12">
        <v>3</v>
      </c>
      <c r="F759" s="154">
        <v>58</v>
      </c>
    </row>
    <row r="760" spans="2:6" x14ac:dyDescent="0.35">
      <c r="B760" s="153">
        <v>43856</v>
      </c>
      <c r="C760" t="s">
        <v>812</v>
      </c>
      <c r="D760" t="s">
        <v>13</v>
      </c>
      <c r="E760" s="12">
        <v>2</v>
      </c>
      <c r="F760" s="154">
        <v>55</v>
      </c>
    </row>
    <row r="761" spans="2:6" x14ac:dyDescent="0.35">
      <c r="B761" s="153">
        <v>43857</v>
      </c>
      <c r="C761" t="s">
        <v>813</v>
      </c>
      <c r="D761" t="s">
        <v>333</v>
      </c>
      <c r="E761" s="12">
        <v>1</v>
      </c>
      <c r="F761" s="154">
        <v>49</v>
      </c>
    </row>
    <row r="762" spans="2:6" x14ac:dyDescent="0.35">
      <c r="B762" s="153">
        <v>43858</v>
      </c>
      <c r="C762" t="s">
        <v>812</v>
      </c>
      <c r="D762" t="s">
        <v>10</v>
      </c>
      <c r="E762" s="12">
        <v>2</v>
      </c>
      <c r="F762" s="154">
        <v>21</v>
      </c>
    </row>
    <row r="763" spans="2:6" x14ac:dyDescent="0.35">
      <c r="B763" s="153">
        <v>43859</v>
      </c>
      <c r="C763" t="s">
        <v>813</v>
      </c>
      <c r="D763" t="s">
        <v>16</v>
      </c>
      <c r="E763" s="12">
        <v>5</v>
      </c>
      <c r="F763" s="154">
        <v>32</v>
      </c>
    </row>
    <row r="764" spans="2:6" x14ac:dyDescent="0.35">
      <c r="B764" s="153">
        <v>43860</v>
      </c>
      <c r="C764" t="s">
        <v>813</v>
      </c>
      <c r="D764" t="s">
        <v>10</v>
      </c>
      <c r="E764" s="12">
        <v>3</v>
      </c>
      <c r="F764" s="154">
        <v>60</v>
      </c>
    </row>
    <row r="765" spans="2:6" x14ac:dyDescent="0.35">
      <c r="B765" s="153">
        <v>43861</v>
      </c>
      <c r="C765" t="s">
        <v>812</v>
      </c>
      <c r="D765" t="s">
        <v>12</v>
      </c>
      <c r="E765" s="12">
        <v>3</v>
      </c>
      <c r="F765" s="154">
        <v>28</v>
      </c>
    </row>
    <row r="766" spans="2:6" x14ac:dyDescent="0.35">
      <c r="B766" s="153">
        <v>43862</v>
      </c>
      <c r="C766" t="s">
        <v>812</v>
      </c>
      <c r="D766" t="s">
        <v>333</v>
      </c>
      <c r="E766" s="12">
        <v>5</v>
      </c>
      <c r="F766" s="154">
        <v>39</v>
      </c>
    </row>
    <row r="767" spans="2:6" x14ac:dyDescent="0.35">
      <c r="B767" s="153">
        <v>43863</v>
      </c>
      <c r="C767" t="s">
        <v>812</v>
      </c>
      <c r="D767" t="s">
        <v>15</v>
      </c>
      <c r="E767" s="12">
        <v>4</v>
      </c>
      <c r="F767" s="154">
        <v>51</v>
      </c>
    </row>
    <row r="768" spans="2:6" x14ac:dyDescent="0.35">
      <c r="B768" s="153">
        <v>43864</v>
      </c>
      <c r="C768" t="s">
        <v>812</v>
      </c>
      <c r="D768" t="s">
        <v>11</v>
      </c>
      <c r="E768" s="12">
        <v>4</v>
      </c>
      <c r="F768" s="154">
        <v>66</v>
      </c>
    </row>
    <row r="769" spans="2:6" x14ac:dyDescent="0.35">
      <c r="B769" s="153">
        <v>43865</v>
      </c>
      <c r="C769" t="s">
        <v>813</v>
      </c>
      <c r="D769" t="s">
        <v>13</v>
      </c>
      <c r="E769" s="12">
        <v>4</v>
      </c>
      <c r="F769" s="154">
        <v>33</v>
      </c>
    </row>
    <row r="770" spans="2:6" x14ac:dyDescent="0.35">
      <c r="B770" s="153">
        <v>43866</v>
      </c>
      <c r="C770" t="s">
        <v>812</v>
      </c>
      <c r="D770" t="s">
        <v>14</v>
      </c>
      <c r="E770" s="12">
        <v>5</v>
      </c>
      <c r="F770" s="154">
        <v>61</v>
      </c>
    </row>
    <row r="771" spans="2:6" x14ac:dyDescent="0.35">
      <c r="B771" s="153">
        <v>43867</v>
      </c>
      <c r="C771" t="s">
        <v>812</v>
      </c>
      <c r="D771" t="s">
        <v>14</v>
      </c>
      <c r="E771" s="12">
        <v>1</v>
      </c>
      <c r="F771" s="154">
        <v>24</v>
      </c>
    </row>
    <row r="772" spans="2:6" x14ac:dyDescent="0.35">
      <c r="B772" s="153">
        <v>43868</v>
      </c>
      <c r="C772" t="s">
        <v>812</v>
      </c>
      <c r="D772" t="s">
        <v>12</v>
      </c>
      <c r="E772" s="12">
        <v>2</v>
      </c>
      <c r="F772" s="154">
        <v>68</v>
      </c>
    </row>
    <row r="773" spans="2:6" x14ac:dyDescent="0.35">
      <c r="B773" s="153">
        <v>43869</v>
      </c>
      <c r="C773" t="s">
        <v>813</v>
      </c>
      <c r="D773" t="s">
        <v>11</v>
      </c>
      <c r="E773" s="12">
        <v>4</v>
      </c>
      <c r="F773" s="154">
        <v>60</v>
      </c>
    </row>
    <row r="774" spans="2:6" x14ac:dyDescent="0.35">
      <c r="B774" s="153">
        <v>43870</v>
      </c>
      <c r="C774" t="s">
        <v>813</v>
      </c>
      <c r="D774" t="s">
        <v>333</v>
      </c>
      <c r="E774" s="12">
        <v>5</v>
      </c>
      <c r="F774" s="154">
        <v>43</v>
      </c>
    </row>
    <row r="775" spans="2:6" x14ac:dyDescent="0.35">
      <c r="B775" s="153">
        <v>43871</v>
      </c>
      <c r="C775" t="s">
        <v>813</v>
      </c>
      <c r="D775" t="s">
        <v>15</v>
      </c>
      <c r="E775" s="12">
        <v>5</v>
      </c>
      <c r="F775" s="154">
        <v>18</v>
      </c>
    </row>
    <row r="776" spans="2:6" x14ac:dyDescent="0.35">
      <c r="B776" s="153">
        <v>43872</v>
      </c>
      <c r="C776" t="s">
        <v>813</v>
      </c>
      <c r="D776" t="s">
        <v>15</v>
      </c>
      <c r="E776" s="12">
        <v>3</v>
      </c>
      <c r="F776" s="154">
        <v>23</v>
      </c>
    </row>
    <row r="777" spans="2:6" x14ac:dyDescent="0.35">
      <c r="B777" s="153">
        <v>43873</v>
      </c>
      <c r="C777" t="s">
        <v>813</v>
      </c>
      <c r="D777" t="s">
        <v>10</v>
      </c>
      <c r="E777" s="12">
        <v>5</v>
      </c>
      <c r="F777" s="154">
        <v>68</v>
      </c>
    </row>
    <row r="778" spans="2:6" x14ac:dyDescent="0.35">
      <c r="B778" s="153">
        <v>43874</v>
      </c>
      <c r="C778" t="s">
        <v>812</v>
      </c>
      <c r="D778" t="s">
        <v>16</v>
      </c>
      <c r="E778" s="12">
        <v>5</v>
      </c>
      <c r="F778" s="154">
        <v>69</v>
      </c>
    </row>
    <row r="779" spans="2:6" x14ac:dyDescent="0.35">
      <c r="B779" s="153">
        <v>43875</v>
      </c>
      <c r="C779" t="s">
        <v>812</v>
      </c>
      <c r="D779" t="s">
        <v>9</v>
      </c>
      <c r="E779" s="12">
        <v>2</v>
      </c>
      <c r="F779" s="154">
        <v>34</v>
      </c>
    </row>
    <row r="780" spans="2:6" x14ac:dyDescent="0.35">
      <c r="B780" s="153">
        <v>43876</v>
      </c>
      <c r="C780" t="s">
        <v>812</v>
      </c>
      <c r="D780" t="s">
        <v>333</v>
      </c>
      <c r="E780" s="12">
        <v>2</v>
      </c>
      <c r="F780" s="154">
        <v>30</v>
      </c>
    </row>
    <row r="781" spans="2:6" x14ac:dyDescent="0.35">
      <c r="B781" s="153">
        <v>43877</v>
      </c>
      <c r="C781" t="s">
        <v>812</v>
      </c>
      <c r="D781" t="s">
        <v>14</v>
      </c>
      <c r="E781" s="12">
        <v>5</v>
      </c>
      <c r="F781" s="154">
        <v>53</v>
      </c>
    </row>
    <row r="782" spans="2:6" x14ac:dyDescent="0.35">
      <c r="B782" s="153">
        <v>43878</v>
      </c>
      <c r="C782" t="s">
        <v>813</v>
      </c>
      <c r="D782" t="s">
        <v>333</v>
      </c>
      <c r="E782" s="12">
        <v>3</v>
      </c>
      <c r="F782" s="154">
        <v>50</v>
      </c>
    </row>
    <row r="783" spans="2:6" x14ac:dyDescent="0.35">
      <c r="B783" s="153">
        <v>43879</v>
      </c>
      <c r="C783" t="s">
        <v>813</v>
      </c>
      <c r="D783" t="s">
        <v>14</v>
      </c>
      <c r="E783" s="12">
        <v>4</v>
      </c>
      <c r="F783" s="154">
        <v>23</v>
      </c>
    </row>
    <row r="784" spans="2:6" x14ac:dyDescent="0.35">
      <c r="B784" s="153">
        <v>43880</v>
      </c>
      <c r="C784" t="s">
        <v>813</v>
      </c>
      <c r="D784" t="s">
        <v>11</v>
      </c>
      <c r="E784" s="12">
        <v>4</v>
      </c>
      <c r="F784" s="154">
        <v>41</v>
      </c>
    </row>
    <row r="785" spans="2:6" x14ac:dyDescent="0.35">
      <c r="B785" s="153">
        <v>43881</v>
      </c>
      <c r="C785" t="s">
        <v>812</v>
      </c>
      <c r="D785" t="s">
        <v>9</v>
      </c>
      <c r="E785" s="12">
        <v>1</v>
      </c>
      <c r="F785" s="154">
        <v>48</v>
      </c>
    </row>
    <row r="786" spans="2:6" x14ac:dyDescent="0.35">
      <c r="B786" s="153">
        <v>43882</v>
      </c>
      <c r="C786" t="s">
        <v>812</v>
      </c>
      <c r="D786" t="s">
        <v>14</v>
      </c>
      <c r="E786" s="12">
        <v>5</v>
      </c>
      <c r="F786" s="154">
        <v>34</v>
      </c>
    </row>
    <row r="787" spans="2:6" x14ac:dyDescent="0.35">
      <c r="B787" s="153">
        <v>43883</v>
      </c>
      <c r="C787" t="s">
        <v>813</v>
      </c>
      <c r="D787" t="s">
        <v>16</v>
      </c>
      <c r="E787" s="12">
        <v>5</v>
      </c>
      <c r="F787" s="154">
        <v>35</v>
      </c>
    </row>
    <row r="788" spans="2:6" x14ac:dyDescent="0.35">
      <c r="B788" s="153">
        <v>43884</v>
      </c>
      <c r="C788" t="s">
        <v>812</v>
      </c>
      <c r="D788" t="s">
        <v>11</v>
      </c>
      <c r="E788" s="12">
        <v>5</v>
      </c>
      <c r="F788" s="154">
        <v>35</v>
      </c>
    </row>
    <row r="789" spans="2:6" x14ac:dyDescent="0.35">
      <c r="B789" s="153">
        <v>43885</v>
      </c>
      <c r="C789" t="s">
        <v>813</v>
      </c>
      <c r="D789" t="s">
        <v>12</v>
      </c>
      <c r="E789" s="12">
        <v>2</v>
      </c>
      <c r="F789" s="154">
        <v>64</v>
      </c>
    </row>
    <row r="790" spans="2:6" x14ac:dyDescent="0.35">
      <c r="B790" s="153">
        <v>43886</v>
      </c>
      <c r="C790" t="s">
        <v>812</v>
      </c>
      <c r="D790" t="s">
        <v>11</v>
      </c>
      <c r="E790" s="12">
        <v>5</v>
      </c>
      <c r="F790" s="154">
        <v>66</v>
      </c>
    </row>
    <row r="791" spans="2:6" x14ac:dyDescent="0.35">
      <c r="B791" s="153">
        <v>43887</v>
      </c>
      <c r="C791" t="s">
        <v>812</v>
      </c>
      <c r="D791" t="s">
        <v>333</v>
      </c>
      <c r="E791" s="12">
        <v>4</v>
      </c>
      <c r="F791" s="154">
        <v>16</v>
      </c>
    </row>
    <row r="792" spans="2:6" x14ac:dyDescent="0.35">
      <c r="B792" s="153">
        <v>43888</v>
      </c>
      <c r="C792" t="s">
        <v>813</v>
      </c>
      <c r="D792" t="s">
        <v>12</v>
      </c>
      <c r="E792" s="12">
        <v>2</v>
      </c>
      <c r="F792" s="154">
        <v>36</v>
      </c>
    </row>
    <row r="793" spans="2:6" x14ac:dyDescent="0.35">
      <c r="B793" s="153">
        <v>43889</v>
      </c>
      <c r="C793" t="s">
        <v>812</v>
      </c>
      <c r="D793" t="s">
        <v>11</v>
      </c>
      <c r="E793" s="12">
        <v>3</v>
      </c>
      <c r="F793" s="154">
        <v>28</v>
      </c>
    </row>
    <row r="794" spans="2:6" x14ac:dyDescent="0.35">
      <c r="B794" s="153">
        <v>43890</v>
      </c>
      <c r="C794" t="s">
        <v>813</v>
      </c>
      <c r="D794" t="s">
        <v>16</v>
      </c>
      <c r="E794" s="12">
        <v>4</v>
      </c>
      <c r="F794" s="154">
        <v>27</v>
      </c>
    </row>
    <row r="795" spans="2:6" x14ac:dyDescent="0.35">
      <c r="B795" s="153">
        <v>43891</v>
      </c>
      <c r="C795" t="s">
        <v>812</v>
      </c>
      <c r="D795" t="s">
        <v>14</v>
      </c>
      <c r="E795" s="12">
        <v>4</v>
      </c>
      <c r="F795" s="154">
        <v>59</v>
      </c>
    </row>
    <row r="796" spans="2:6" x14ac:dyDescent="0.35">
      <c r="B796" s="153">
        <v>43892</v>
      </c>
      <c r="C796" t="s">
        <v>813</v>
      </c>
      <c r="D796" t="s">
        <v>17</v>
      </c>
      <c r="E796" s="12">
        <v>5</v>
      </c>
      <c r="F796" s="154">
        <v>22</v>
      </c>
    </row>
    <row r="797" spans="2:6" x14ac:dyDescent="0.35">
      <c r="B797" s="153">
        <v>43893</v>
      </c>
      <c r="C797" t="s">
        <v>813</v>
      </c>
      <c r="D797" t="s">
        <v>11</v>
      </c>
      <c r="E797" s="12">
        <v>2</v>
      </c>
      <c r="F797" s="154">
        <v>19</v>
      </c>
    </row>
    <row r="798" spans="2:6" x14ac:dyDescent="0.35">
      <c r="B798" s="153">
        <v>43894</v>
      </c>
      <c r="C798" t="s">
        <v>813</v>
      </c>
      <c r="D798" t="s">
        <v>17</v>
      </c>
      <c r="E798" s="12">
        <v>4</v>
      </c>
      <c r="F798" s="154">
        <v>64</v>
      </c>
    </row>
    <row r="799" spans="2:6" x14ac:dyDescent="0.35">
      <c r="B799" s="153">
        <v>43895</v>
      </c>
      <c r="C799" t="s">
        <v>812</v>
      </c>
      <c r="D799" t="s">
        <v>14</v>
      </c>
      <c r="E799" s="12">
        <v>1</v>
      </c>
      <c r="F799" s="154">
        <v>51</v>
      </c>
    </row>
    <row r="800" spans="2:6" x14ac:dyDescent="0.35">
      <c r="B800" s="153">
        <v>43896</v>
      </c>
      <c r="C800" t="s">
        <v>813</v>
      </c>
      <c r="D800" t="s">
        <v>13</v>
      </c>
      <c r="E800" s="12">
        <v>3</v>
      </c>
      <c r="F800" s="154">
        <v>20</v>
      </c>
    </row>
    <row r="801" spans="2:6" x14ac:dyDescent="0.35">
      <c r="B801" s="153">
        <v>43897</v>
      </c>
      <c r="C801" t="s">
        <v>812</v>
      </c>
      <c r="D801" t="s">
        <v>16</v>
      </c>
      <c r="E801" s="12">
        <v>1</v>
      </c>
      <c r="F801" s="154">
        <v>17</v>
      </c>
    </row>
    <row r="802" spans="2:6" x14ac:dyDescent="0.35">
      <c r="B802" s="153">
        <v>43898</v>
      </c>
      <c r="C802" t="s">
        <v>812</v>
      </c>
      <c r="D802" t="s">
        <v>17</v>
      </c>
      <c r="E802" s="12">
        <v>4</v>
      </c>
      <c r="F802" s="154">
        <v>58</v>
      </c>
    </row>
    <row r="803" spans="2:6" x14ac:dyDescent="0.35">
      <c r="B803" s="153">
        <v>43899</v>
      </c>
      <c r="C803" t="s">
        <v>813</v>
      </c>
      <c r="D803" t="s">
        <v>11</v>
      </c>
      <c r="E803" s="12">
        <v>4</v>
      </c>
      <c r="F803" s="154">
        <v>20</v>
      </c>
    </row>
    <row r="804" spans="2:6" x14ac:dyDescent="0.35">
      <c r="B804" s="153">
        <v>43900</v>
      </c>
      <c r="C804" t="s">
        <v>813</v>
      </c>
      <c r="D804" t="s">
        <v>13</v>
      </c>
      <c r="E804" s="12">
        <v>1</v>
      </c>
      <c r="F804" s="154">
        <v>20</v>
      </c>
    </row>
    <row r="805" spans="2:6" x14ac:dyDescent="0.35">
      <c r="B805" s="153">
        <v>43901</v>
      </c>
      <c r="C805" t="s">
        <v>812</v>
      </c>
      <c r="D805" t="s">
        <v>16</v>
      </c>
      <c r="E805" s="12">
        <v>1</v>
      </c>
      <c r="F805" s="154">
        <v>18</v>
      </c>
    </row>
    <row r="806" spans="2:6" x14ac:dyDescent="0.35">
      <c r="B806" s="153">
        <v>43902</v>
      </c>
      <c r="C806" t="s">
        <v>813</v>
      </c>
      <c r="D806" t="s">
        <v>15</v>
      </c>
      <c r="E806" s="12">
        <v>5</v>
      </c>
      <c r="F806" s="154">
        <v>44</v>
      </c>
    </row>
    <row r="807" spans="2:6" x14ac:dyDescent="0.35">
      <c r="B807" s="153">
        <v>43903</v>
      </c>
      <c r="C807" t="s">
        <v>812</v>
      </c>
      <c r="D807" t="s">
        <v>10</v>
      </c>
      <c r="E807" s="12">
        <v>4</v>
      </c>
      <c r="F807" s="154">
        <v>60</v>
      </c>
    </row>
    <row r="808" spans="2:6" x14ac:dyDescent="0.35">
      <c r="B808" s="153">
        <v>43904</v>
      </c>
      <c r="C808" t="s">
        <v>813</v>
      </c>
      <c r="D808" t="s">
        <v>11</v>
      </c>
      <c r="E808" s="12">
        <v>4</v>
      </c>
      <c r="F808" s="154">
        <v>68</v>
      </c>
    </row>
    <row r="809" spans="2:6" x14ac:dyDescent="0.35">
      <c r="B809" s="153">
        <v>43905</v>
      </c>
      <c r="C809" t="s">
        <v>812</v>
      </c>
      <c r="D809" t="s">
        <v>10</v>
      </c>
      <c r="E809" s="12">
        <v>2</v>
      </c>
      <c r="F809" s="154">
        <v>33</v>
      </c>
    </row>
    <row r="810" spans="2:6" x14ac:dyDescent="0.35">
      <c r="B810" s="153">
        <v>43906</v>
      </c>
      <c r="C810" t="s">
        <v>813</v>
      </c>
      <c r="D810" t="s">
        <v>12</v>
      </c>
      <c r="E810" s="12">
        <v>3</v>
      </c>
      <c r="F810" s="154">
        <v>17</v>
      </c>
    </row>
    <row r="811" spans="2:6" x14ac:dyDescent="0.35">
      <c r="B811" s="153">
        <v>43907</v>
      </c>
      <c r="C811" t="s">
        <v>813</v>
      </c>
      <c r="D811" t="s">
        <v>15</v>
      </c>
      <c r="E811" s="12">
        <v>3</v>
      </c>
      <c r="F811" s="154">
        <v>61</v>
      </c>
    </row>
    <row r="812" spans="2:6" x14ac:dyDescent="0.35">
      <c r="B812" s="153">
        <v>43908</v>
      </c>
      <c r="C812" t="s">
        <v>812</v>
      </c>
      <c r="D812" t="s">
        <v>14</v>
      </c>
      <c r="E812" s="12">
        <v>5</v>
      </c>
      <c r="F812" s="154">
        <v>44</v>
      </c>
    </row>
    <row r="813" spans="2:6" x14ac:dyDescent="0.35">
      <c r="B813" s="153">
        <v>43909</v>
      </c>
      <c r="C813" t="s">
        <v>812</v>
      </c>
      <c r="D813" t="s">
        <v>11</v>
      </c>
      <c r="E813" s="12">
        <v>1</v>
      </c>
      <c r="F813" s="154">
        <v>26</v>
      </c>
    </row>
    <row r="814" spans="2:6" x14ac:dyDescent="0.35">
      <c r="B814" s="153">
        <v>43910</v>
      </c>
      <c r="C814" t="s">
        <v>813</v>
      </c>
      <c r="D814" t="s">
        <v>10</v>
      </c>
      <c r="E814" s="12">
        <v>5</v>
      </c>
      <c r="F814" s="154">
        <v>19</v>
      </c>
    </row>
    <row r="815" spans="2:6" x14ac:dyDescent="0.35">
      <c r="B815" s="153">
        <v>43911</v>
      </c>
      <c r="C815" t="s">
        <v>813</v>
      </c>
      <c r="D815" t="s">
        <v>15</v>
      </c>
      <c r="E815" s="12">
        <v>5</v>
      </c>
      <c r="F815" s="154">
        <v>49</v>
      </c>
    </row>
    <row r="816" spans="2:6" x14ac:dyDescent="0.35">
      <c r="B816" s="153">
        <v>43912</v>
      </c>
      <c r="C816" t="s">
        <v>813</v>
      </c>
      <c r="D816" t="s">
        <v>9</v>
      </c>
      <c r="E816" s="12">
        <v>4</v>
      </c>
      <c r="F816" s="154">
        <v>69</v>
      </c>
    </row>
    <row r="817" spans="2:6" x14ac:dyDescent="0.35">
      <c r="B817" s="153">
        <v>43913</v>
      </c>
      <c r="C817" t="s">
        <v>813</v>
      </c>
      <c r="D817" t="s">
        <v>15</v>
      </c>
      <c r="E817" s="12">
        <v>1</v>
      </c>
      <c r="F817" s="154">
        <v>60</v>
      </c>
    </row>
    <row r="818" spans="2:6" x14ac:dyDescent="0.35">
      <c r="B818" s="153">
        <v>43914</v>
      </c>
      <c r="C818" t="s">
        <v>812</v>
      </c>
      <c r="D818" t="s">
        <v>10</v>
      </c>
      <c r="E818" s="12">
        <v>3</v>
      </c>
      <c r="F818" s="154">
        <v>60</v>
      </c>
    </row>
    <row r="819" spans="2:6" x14ac:dyDescent="0.35">
      <c r="B819" s="153">
        <v>43915</v>
      </c>
      <c r="C819" t="s">
        <v>812</v>
      </c>
      <c r="D819" t="s">
        <v>11</v>
      </c>
      <c r="E819" s="12">
        <v>1</v>
      </c>
      <c r="F819" s="154">
        <v>37</v>
      </c>
    </row>
    <row r="820" spans="2:6" x14ac:dyDescent="0.35">
      <c r="B820" s="153">
        <v>43916</v>
      </c>
      <c r="C820" t="s">
        <v>813</v>
      </c>
      <c r="D820" t="s">
        <v>333</v>
      </c>
      <c r="E820" s="12">
        <v>2</v>
      </c>
      <c r="F820" s="154">
        <v>44</v>
      </c>
    </row>
    <row r="821" spans="2:6" x14ac:dyDescent="0.35">
      <c r="B821" s="153">
        <v>43917</v>
      </c>
      <c r="C821" t="s">
        <v>812</v>
      </c>
      <c r="D821" t="s">
        <v>12</v>
      </c>
      <c r="E821" s="12">
        <v>3</v>
      </c>
      <c r="F821" s="154">
        <v>18</v>
      </c>
    </row>
    <row r="822" spans="2:6" x14ac:dyDescent="0.35">
      <c r="B822" s="153">
        <v>43918</v>
      </c>
      <c r="C822" t="s">
        <v>812</v>
      </c>
      <c r="D822" t="s">
        <v>11</v>
      </c>
      <c r="E822" s="12">
        <v>3</v>
      </c>
      <c r="F822" s="154">
        <v>17</v>
      </c>
    </row>
    <row r="823" spans="2:6" x14ac:dyDescent="0.35">
      <c r="B823" s="153">
        <v>43919</v>
      </c>
      <c r="C823" t="s">
        <v>813</v>
      </c>
      <c r="D823" t="s">
        <v>15</v>
      </c>
      <c r="E823" s="12">
        <v>1</v>
      </c>
      <c r="F823" s="154">
        <v>44</v>
      </c>
    </row>
    <row r="824" spans="2:6" x14ac:dyDescent="0.35">
      <c r="B824" s="153">
        <v>43920</v>
      </c>
      <c r="C824" t="s">
        <v>812</v>
      </c>
      <c r="D824" t="s">
        <v>333</v>
      </c>
      <c r="E824" s="12">
        <v>1</v>
      </c>
      <c r="F824" s="154">
        <v>60</v>
      </c>
    </row>
    <row r="825" spans="2:6" x14ac:dyDescent="0.35">
      <c r="B825" s="153">
        <v>43921</v>
      </c>
      <c r="C825" t="s">
        <v>812</v>
      </c>
      <c r="D825" t="s">
        <v>11</v>
      </c>
      <c r="E825" s="12">
        <v>1</v>
      </c>
      <c r="F825" s="154">
        <v>24</v>
      </c>
    </row>
    <row r="826" spans="2:6" x14ac:dyDescent="0.35">
      <c r="B826" s="153">
        <v>43922</v>
      </c>
      <c r="C826" t="s">
        <v>813</v>
      </c>
      <c r="D826" t="s">
        <v>333</v>
      </c>
      <c r="E826" s="12">
        <v>3</v>
      </c>
      <c r="F826" s="154">
        <v>45</v>
      </c>
    </row>
    <row r="827" spans="2:6" x14ac:dyDescent="0.35">
      <c r="B827" s="153">
        <v>43923</v>
      </c>
      <c r="C827" t="s">
        <v>812</v>
      </c>
      <c r="D827" t="s">
        <v>10</v>
      </c>
      <c r="E827" s="12">
        <v>2</v>
      </c>
      <c r="F827" s="154">
        <v>19</v>
      </c>
    </row>
    <row r="828" spans="2:6" x14ac:dyDescent="0.35">
      <c r="B828" s="153">
        <v>43924</v>
      </c>
      <c r="C828" t="s">
        <v>813</v>
      </c>
      <c r="D828" t="s">
        <v>333</v>
      </c>
      <c r="E828" s="12">
        <v>5</v>
      </c>
      <c r="F828" s="154">
        <v>28</v>
      </c>
    </row>
    <row r="829" spans="2:6" x14ac:dyDescent="0.35">
      <c r="B829" s="153">
        <v>43925</v>
      </c>
      <c r="C829" t="s">
        <v>812</v>
      </c>
      <c r="D829" t="s">
        <v>14</v>
      </c>
      <c r="E829" s="12">
        <v>4</v>
      </c>
      <c r="F829" s="154">
        <v>60</v>
      </c>
    </row>
    <row r="830" spans="2:6" x14ac:dyDescent="0.35">
      <c r="B830" s="153">
        <v>43926</v>
      </c>
      <c r="C830" t="s">
        <v>812</v>
      </c>
      <c r="D830" t="s">
        <v>333</v>
      </c>
      <c r="E830" s="12">
        <v>2</v>
      </c>
      <c r="F830" s="154">
        <v>40</v>
      </c>
    </row>
    <row r="831" spans="2:6" x14ac:dyDescent="0.35">
      <c r="B831" s="153">
        <v>43927</v>
      </c>
      <c r="C831" t="s">
        <v>812</v>
      </c>
      <c r="D831" t="s">
        <v>16</v>
      </c>
      <c r="E831" s="12">
        <v>1</v>
      </c>
      <c r="F831" s="154">
        <v>32</v>
      </c>
    </row>
    <row r="832" spans="2:6" x14ac:dyDescent="0.35">
      <c r="B832" s="153">
        <v>43928</v>
      </c>
      <c r="C832" t="s">
        <v>813</v>
      </c>
      <c r="D832" t="s">
        <v>12</v>
      </c>
      <c r="E832" s="12">
        <v>3</v>
      </c>
      <c r="F832" s="154">
        <v>49</v>
      </c>
    </row>
    <row r="833" spans="2:6" x14ac:dyDescent="0.35">
      <c r="B833" s="153">
        <v>43929</v>
      </c>
      <c r="C833" t="s">
        <v>812</v>
      </c>
      <c r="D833" t="s">
        <v>15</v>
      </c>
      <c r="E833" s="12">
        <v>3</v>
      </c>
      <c r="F833" s="154">
        <v>61</v>
      </c>
    </row>
    <row r="834" spans="2:6" x14ac:dyDescent="0.35">
      <c r="B834" s="153">
        <v>43930</v>
      </c>
      <c r="C834" t="s">
        <v>812</v>
      </c>
      <c r="D834" t="s">
        <v>13</v>
      </c>
      <c r="E834" s="12">
        <v>4</v>
      </c>
      <c r="F834" s="154">
        <v>45</v>
      </c>
    </row>
    <row r="835" spans="2:6" x14ac:dyDescent="0.35">
      <c r="B835" s="153">
        <v>43931</v>
      </c>
      <c r="C835" t="s">
        <v>813</v>
      </c>
      <c r="D835" t="s">
        <v>13</v>
      </c>
      <c r="E835" s="12">
        <v>1</v>
      </c>
      <c r="F835" s="154">
        <v>64</v>
      </c>
    </row>
    <row r="836" spans="2:6" x14ac:dyDescent="0.35">
      <c r="B836" s="153">
        <v>43932</v>
      </c>
      <c r="C836" t="s">
        <v>812</v>
      </c>
      <c r="D836" t="s">
        <v>13</v>
      </c>
      <c r="E836" s="12">
        <v>1</v>
      </c>
      <c r="F836" s="154">
        <v>62</v>
      </c>
    </row>
    <row r="837" spans="2:6" x14ac:dyDescent="0.35">
      <c r="B837" s="153">
        <v>43933</v>
      </c>
      <c r="C837" t="s">
        <v>813</v>
      </c>
      <c r="D837" t="s">
        <v>16</v>
      </c>
      <c r="E837" s="12">
        <v>2</v>
      </c>
      <c r="F837" s="154">
        <v>43</v>
      </c>
    </row>
    <row r="838" spans="2:6" x14ac:dyDescent="0.35">
      <c r="B838" s="153">
        <v>43934</v>
      </c>
      <c r="C838" t="s">
        <v>812</v>
      </c>
      <c r="D838" t="s">
        <v>16</v>
      </c>
      <c r="E838" s="12">
        <v>3</v>
      </c>
      <c r="F838" s="154">
        <v>26</v>
      </c>
    </row>
    <row r="839" spans="2:6" x14ac:dyDescent="0.35">
      <c r="B839" s="153">
        <v>43935</v>
      </c>
      <c r="C839" t="s">
        <v>812</v>
      </c>
      <c r="D839" t="s">
        <v>15</v>
      </c>
      <c r="E839" s="12">
        <v>4</v>
      </c>
      <c r="F839" s="154">
        <v>21</v>
      </c>
    </row>
    <row r="840" spans="2:6" x14ac:dyDescent="0.35">
      <c r="B840" s="153">
        <v>43936</v>
      </c>
      <c r="C840" t="s">
        <v>812</v>
      </c>
      <c r="D840" t="s">
        <v>14</v>
      </c>
      <c r="E840" s="12">
        <v>3</v>
      </c>
      <c r="F840" s="154">
        <v>26</v>
      </c>
    </row>
    <row r="841" spans="2:6" x14ac:dyDescent="0.35">
      <c r="B841" s="153">
        <v>43937</v>
      </c>
      <c r="C841" t="s">
        <v>812</v>
      </c>
      <c r="D841" t="s">
        <v>14</v>
      </c>
      <c r="E841" s="12">
        <v>3</v>
      </c>
      <c r="F841" s="154">
        <v>63</v>
      </c>
    </row>
    <row r="842" spans="2:6" x14ac:dyDescent="0.35">
      <c r="B842" s="153">
        <v>43938</v>
      </c>
      <c r="C842" t="s">
        <v>812</v>
      </c>
      <c r="D842" t="s">
        <v>15</v>
      </c>
      <c r="E842" s="12">
        <v>3</v>
      </c>
      <c r="F842" s="154">
        <v>37</v>
      </c>
    </row>
    <row r="843" spans="2:6" x14ac:dyDescent="0.35">
      <c r="B843" s="153">
        <v>43939</v>
      </c>
      <c r="C843" t="s">
        <v>813</v>
      </c>
      <c r="D843" t="s">
        <v>14</v>
      </c>
      <c r="E843" s="12">
        <v>4</v>
      </c>
      <c r="F843" s="154">
        <v>54</v>
      </c>
    </row>
    <row r="844" spans="2:6" x14ac:dyDescent="0.35">
      <c r="B844" s="153">
        <v>43940</v>
      </c>
      <c r="C844" t="s">
        <v>812</v>
      </c>
      <c r="D844" t="s">
        <v>14</v>
      </c>
      <c r="E844" s="12">
        <v>3</v>
      </c>
      <c r="F844" s="154">
        <v>36</v>
      </c>
    </row>
    <row r="845" spans="2:6" x14ac:dyDescent="0.35">
      <c r="B845" s="153">
        <v>43941</v>
      </c>
      <c r="C845" t="s">
        <v>813</v>
      </c>
      <c r="D845" t="s">
        <v>12</v>
      </c>
      <c r="E845" s="12">
        <v>1</v>
      </c>
      <c r="F845" s="154">
        <v>21</v>
      </c>
    </row>
    <row r="846" spans="2:6" x14ac:dyDescent="0.35">
      <c r="B846" s="153">
        <v>43942</v>
      </c>
      <c r="C846" t="s">
        <v>813</v>
      </c>
      <c r="D846" t="s">
        <v>9</v>
      </c>
      <c r="E846" s="12">
        <v>5</v>
      </c>
      <c r="F846" s="154">
        <v>45</v>
      </c>
    </row>
    <row r="847" spans="2:6" x14ac:dyDescent="0.35">
      <c r="B847" s="153">
        <v>43943</v>
      </c>
      <c r="C847" t="s">
        <v>813</v>
      </c>
      <c r="D847" t="s">
        <v>9</v>
      </c>
      <c r="E847" s="12">
        <v>1</v>
      </c>
      <c r="F847" s="154">
        <v>21</v>
      </c>
    </row>
    <row r="848" spans="2:6" x14ac:dyDescent="0.35">
      <c r="B848" s="153">
        <v>43944</v>
      </c>
      <c r="C848" t="s">
        <v>813</v>
      </c>
      <c r="D848" t="s">
        <v>17</v>
      </c>
      <c r="E848" s="12">
        <v>2</v>
      </c>
      <c r="F848" s="154">
        <v>31</v>
      </c>
    </row>
    <row r="849" spans="2:6" x14ac:dyDescent="0.35">
      <c r="B849" s="153">
        <v>43945</v>
      </c>
      <c r="C849" t="s">
        <v>813</v>
      </c>
      <c r="D849" t="s">
        <v>16</v>
      </c>
      <c r="E849" s="12">
        <v>2</v>
      </c>
      <c r="F849" s="154">
        <v>48</v>
      </c>
    </row>
    <row r="850" spans="2:6" x14ac:dyDescent="0.35">
      <c r="B850" s="153">
        <v>43946</v>
      </c>
      <c r="C850" t="s">
        <v>812</v>
      </c>
      <c r="D850" t="s">
        <v>17</v>
      </c>
      <c r="E850" s="12">
        <v>2</v>
      </c>
      <c r="F850" s="154">
        <v>36</v>
      </c>
    </row>
    <row r="851" spans="2:6" x14ac:dyDescent="0.35">
      <c r="B851" s="153">
        <v>43947</v>
      </c>
      <c r="C851" t="s">
        <v>813</v>
      </c>
      <c r="D851" t="s">
        <v>14</v>
      </c>
      <c r="E851" s="12">
        <v>2</v>
      </c>
      <c r="F851" s="154">
        <v>20</v>
      </c>
    </row>
    <row r="852" spans="2:6" x14ac:dyDescent="0.35">
      <c r="B852" s="153">
        <v>43948</v>
      </c>
      <c r="C852" t="s">
        <v>812</v>
      </c>
      <c r="D852" t="s">
        <v>13</v>
      </c>
      <c r="E852" s="12">
        <v>4</v>
      </c>
      <c r="F852" s="154">
        <v>23</v>
      </c>
    </row>
    <row r="853" spans="2:6" x14ac:dyDescent="0.35">
      <c r="B853" s="153">
        <v>43949</v>
      </c>
      <c r="C853" t="s">
        <v>812</v>
      </c>
      <c r="D853" t="s">
        <v>9</v>
      </c>
      <c r="E853" s="12">
        <v>4</v>
      </c>
      <c r="F853" s="154">
        <v>19</v>
      </c>
    </row>
    <row r="854" spans="2:6" x14ac:dyDescent="0.35">
      <c r="B854" s="153">
        <v>43950</v>
      </c>
      <c r="C854" t="s">
        <v>812</v>
      </c>
      <c r="D854" t="s">
        <v>14</v>
      </c>
      <c r="E854" s="12">
        <v>5</v>
      </c>
      <c r="F854" s="154">
        <v>62</v>
      </c>
    </row>
    <row r="855" spans="2:6" x14ac:dyDescent="0.35">
      <c r="B855" s="153">
        <v>43951</v>
      </c>
      <c r="C855" t="s">
        <v>812</v>
      </c>
      <c r="D855" t="s">
        <v>13</v>
      </c>
      <c r="E855" s="12">
        <v>5</v>
      </c>
      <c r="F855" s="154">
        <v>42</v>
      </c>
    </row>
    <row r="856" spans="2:6" x14ac:dyDescent="0.35">
      <c r="B856" s="153">
        <v>43952</v>
      </c>
      <c r="C856" t="s">
        <v>812</v>
      </c>
      <c r="D856" t="s">
        <v>14</v>
      </c>
      <c r="E856" s="12">
        <v>4</v>
      </c>
      <c r="F856" s="154">
        <v>35</v>
      </c>
    </row>
    <row r="857" spans="2:6" x14ac:dyDescent="0.35">
      <c r="B857" s="153">
        <v>43953</v>
      </c>
      <c r="C857" t="s">
        <v>813</v>
      </c>
      <c r="D857" t="s">
        <v>14</v>
      </c>
      <c r="E857" s="12">
        <v>2</v>
      </c>
      <c r="F857" s="154">
        <v>62</v>
      </c>
    </row>
    <row r="858" spans="2:6" x14ac:dyDescent="0.35">
      <c r="B858" s="153">
        <v>43954</v>
      </c>
      <c r="C858" t="s">
        <v>813</v>
      </c>
      <c r="D858" t="s">
        <v>333</v>
      </c>
      <c r="E858" s="12">
        <v>2</v>
      </c>
      <c r="F858" s="154">
        <v>52</v>
      </c>
    </row>
    <row r="859" spans="2:6" x14ac:dyDescent="0.35">
      <c r="B859" s="153">
        <v>43955</v>
      </c>
      <c r="C859" t="s">
        <v>812</v>
      </c>
      <c r="D859" t="s">
        <v>10</v>
      </c>
      <c r="E859" s="12">
        <v>4</v>
      </c>
      <c r="F859" s="154">
        <v>18</v>
      </c>
    </row>
    <row r="860" spans="2:6" x14ac:dyDescent="0.35">
      <c r="B860" s="153">
        <v>43956</v>
      </c>
      <c r="C860" t="s">
        <v>812</v>
      </c>
      <c r="D860" t="s">
        <v>17</v>
      </c>
      <c r="E860" s="12">
        <v>1</v>
      </c>
      <c r="F860" s="154">
        <v>37</v>
      </c>
    </row>
    <row r="861" spans="2:6" x14ac:dyDescent="0.35">
      <c r="B861" s="153">
        <v>43957</v>
      </c>
      <c r="C861" t="s">
        <v>812</v>
      </c>
      <c r="D861" t="s">
        <v>333</v>
      </c>
      <c r="E861" s="12">
        <v>3</v>
      </c>
      <c r="F861" s="154">
        <v>24</v>
      </c>
    </row>
    <row r="862" spans="2:6" x14ac:dyDescent="0.35">
      <c r="B862" s="153">
        <v>43958</v>
      </c>
      <c r="C862" t="s">
        <v>813</v>
      </c>
      <c r="D862" t="s">
        <v>15</v>
      </c>
      <c r="E862" s="12">
        <v>4</v>
      </c>
      <c r="F862" s="154">
        <v>48</v>
      </c>
    </row>
    <row r="863" spans="2:6" x14ac:dyDescent="0.35">
      <c r="B863" s="153">
        <v>43959</v>
      </c>
      <c r="C863" t="s">
        <v>812</v>
      </c>
      <c r="D863" t="s">
        <v>12</v>
      </c>
      <c r="E863" s="12">
        <v>5</v>
      </c>
      <c r="F863" s="154">
        <v>68</v>
      </c>
    </row>
    <row r="864" spans="2:6" x14ac:dyDescent="0.35">
      <c r="B864" s="153">
        <v>43960</v>
      </c>
      <c r="C864" t="s">
        <v>812</v>
      </c>
      <c r="D864" t="s">
        <v>12</v>
      </c>
      <c r="E864" s="12">
        <v>5</v>
      </c>
      <c r="F864" s="154">
        <v>31</v>
      </c>
    </row>
    <row r="865" spans="2:6" x14ac:dyDescent="0.35">
      <c r="B865" s="153">
        <v>43961</v>
      </c>
      <c r="C865" t="s">
        <v>812</v>
      </c>
      <c r="D865" t="s">
        <v>11</v>
      </c>
      <c r="E865" s="12">
        <v>3</v>
      </c>
      <c r="F865" s="154">
        <v>47</v>
      </c>
    </row>
    <row r="866" spans="2:6" x14ac:dyDescent="0.35">
      <c r="B866" s="153">
        <v>43962</v>
      </c>
      <c r="C866" t="s">
        <v>813</v>
      </c>
      <c r="D866" t="s">
        <v>15</v>
      </c>
      <c r="E866" s="12">
        <v>3</v>
      </c>
      <c r="F866" s="154">
        <v>51</v>
      </c>
    </row>
    <row r="867" spans="2:6" x14ac:dyDescent="0.35">
      <c r="B867" s="153">
        <v>43963</v>
      </c>
      <c r="C867" t="s">
        <v>813</v>
      </c>
      <c r="D867" t="s">
        <v>11</v>
      </c>
      <c r="E867" s="12">
        <v>1</v>
      </c>
      <c r="F867" s="154">
        <v>23</v>
      </c>
    </row>
    <row r="868" spans="2:6" x14ac:dyDescent="0.35">
      <c r="B868" s="153">
        <v>43964</v>
      </c>
      <c r="C868" t="s">
        <v>812</v>
      </c>
      <c r="D868" t="s">
        <v>15</v>
      </c>
      <c r="E868" s="12">
        <v>2</v>
      </c>
      <c r="F868" s="154">
        <v>30</v>
      </c>
    </row>
    <row r="869" spans="2:6" x14ac:dyDescent="0.35">
      <c r="B869" s="153">
        <v>43965</v>
      </c>
      <c r="C869" t="s">
        <v>813</v>
      </c>
      <c r="D869" t="s">
        <v>12</v>
      </c>
      <c r="E869" s="12">
        <v>1</v>
      </c>
      <c r="F869" s="154">
        <v>28</v>
      </c>
    </row>
    <row r="870" spans="2:6" x14ac:dyDescent="0.35">
      <c r="B870" s="153">
        <v>43966</v>
      </c>
      <c r="C870" t="s">
        <v>812</v>
      </c>
      <c r="D870" t="s">
        <v>17</v>
      </c>
      <c r="E870" s="12">
        <v>1</v>
      </c>
      <c r="F870" s="154">
        <v>26</v>
      </c>
    </row>
    <row r="871" spans="2:6" x14ac:dyDescent="0.35">
      <c r="B871" s="153">
        <v>43967</v>
      </c>
      <c r="C871" t="s">
        <v>812</v>
      </c>
      <c r="D871" t="s">
        <v>9</v>
      </c>
      <c r="E871" s="12">
        <v>4</v>
      </c>
      <c r="F871" s="154">
        <v>45</v>
      </c>
    </row>
    <row r="872" spans="2:6" x14ac:dyDescent="0.35">
      <c r="B872" s="153">
        <v>43968</v>
      </c>
      <c r="C872" t="s">
        <v>813</v>
      </c>
      <c r="D872" t="s">
        <v>15</v>
      </c>
      <c r="E872" s="12">
        <v>2</v>
      </c>
      <c r="F872" s="154">
        <v>70</v>
      </c>
    </row>
    <row r="873" spans="2:6" x14ac:dyDescent="0.35">
      <c r="B873" s="153">
        <v>43969</v>
      </c>
      <c r="C873" t="s">
        <v>813</v>
      </c>
      <c r="D873" t="s">
        <v>13</v>
      </c>
      <c r="E873" s="12">
        <v>3</v>
      </c>
      <c r="F873" s="154">
        <v>32</v>
      </c>
    </row>
    <row r="874" spans="2:6" x14ac:dyDescent="0.35">
      <c r="B874" s="153">
        <v>43970</v>
      </c>
      <c r="C874" t="s">
        <v>813</v>
      </c>
      <c r="D874" t="s">
        <v>9</v>
      </c>
      <c r="E874" s="12">
        <v>5</v>
      </c>
      <c r="F874" s="154">
        <v>26</v>
      </c>
    </row>
    <row r="875" spans="2:6" x14ac:dyDescent="0.35">
      <c r="B875" s="153">
        <v>43971</v>
      </c>
      <c r="C875" t="s">
        <v>813</v>
      </c>
      <c r="D875" t="s">
        <v>12</v>
      </c>
      <c r="E875" s="12">
        <v>5</v>
      </c>
      <c r="F875" s="154">
        <v>30</v>
      </c>
    </row>
    <row r="876" spans="2:6" x14ac:dyDescent="0.35">
      <c r="B876" s="153">
        <v>43972</v>
      </c>
      <c r="C876" t="s">
        <v>813</v>
      </c>
      <c r="D876" t="s">
        <v>16</v>
      </c>
      <c r="E876" s="12">
        <v>2</v>
      </c>
      <c r="F876" s="154">
        <v>32</v>
      </c>
    </row>
    <row r="877" spans="2:6" x14ac:dyDescent="0.35">
      <c r="B877" s="153">
        <v>43973</v>
      </c>
      <c r="C877" t="s">
        <v>812</v>
      </c>
      <c r="D877" t="s">
        <v>11</v>
      </c>
      <c r="E877" s="12">
        <v>4</v>
      </c>
      <c r="F877" s="154">
        <v>51</v>
      </c>
    </row>
    <row r="878" spans="2:6" x14ac:dyDescent="0.35">
      <c r="B878" s="153">
        <v>43974</v>
      </c>
      <c r="C878" t="s">
        <v>813</v>
      </c>
      <c r="D878" t="s">
        <v>13</v>
      </c>
      <c r="E878" s="12">
        <v>1</v>
      </c>
      <c r="F878" s="154">
        <v>57</v>
      </c>
    </row>
    <row r="879" spans="2:6" x14ac:dyDescent="0.35">
      <c r="B879" s="153">
        <v>43975</v>
      </c>
      <c r="C879" t="s">
        <v>812</v>
      </c>
      <c r="D879" t="s">
        <v>11</v>
      </c>
      <c r="E879" s="12">
        <v>5</v>
      </c>
      <c r="F879" s="154">
        <v>64</v>
      </c>
    </row>
    <row r="880" spans="2:6" x14ac:dyDescent="0.35">
      <c r="B880" s="153">
        <v>43976</v>
      </c>
      <c r="C880" t="s">
        <v>813</v>
      </c>
      <c r="D880" t="s">
        <v>10</v>
      </c>
      <c r="E880" s="12">
        <v>1</v>
      </c>
      <c r="F880" s="154">
        <v>49</v>
      </c>
    </row>
    <row r="881" spans="2:6" x14ac:dyDescent="0.35">
      <c r="B881" s="153">
        <v>43977</v>
      </c>
      <c r="C881" t="s">
        <v>813</v>
      </c>
      <c r="D881" t="s">
        <v>333</v>
      </c>
      <c r="E881" s="12">
        <v>2</v>
      </c>
      <c r="F881" s="154">
        <v>45</v>
      </c>
    </row>
    <row r="882" spans="2:6" x14ac:dyDescent="0.35">
      <c r="B882" s="153">
        <v>43978</v>
      </c>
      <c r="C882" t="s">
        <v>813</v>
      </c>
      <c r="D882" t="s">
        <v>13</v>
      </c>
      <c r="E882" s="12">
        <v>5</v>
      </c>
      <c r="F882" s="154">
        <v>28</v>
      </c>
    </row>
    <row r="883" spans="2:6" x14ac:dyDescent="0.35">
      <c r="B883" s="153">
        <v>43979</v>
      </c>
      <c r="C883" t="s">
        <v>813</v>
      </c>
      <c r="D883" t="s">
        <v>10</v>
      </c>
      <c r="E883" s="12">
        <v>2</v>
      </c>
      <c r="F883" s="154">
        <v>66</v>
      </c>
    </row>
    <row r="884" spans="2:6" x14ac:dyDescent="0.35">
      <c r="B884" s="153">
        <v>43980</v>
      </c>
      <c r="C884" t="s">
        <v>813</v>
      </c>
      <c r="D884" t="s">
        <v>10</v>
      </c>
      <c r="E884" s="12">
        <v>1</v>
      </c>
      <c r="F884" s="154">
        <v>69</v>
      </c>
    </row>
    <row r="885" spans="2:6" x14ac:dyDescent="0.35">
      <c r="B885" s="153">
        <v>43981</v>
      </c>
      <c r="C885" t="s">
        <v>813</v>
      </c>
      <c r="D885" t="s">
        <v>11</v>
      </c>
      <c r="E885" s="12">
        <v>3</v>
      </c>
      <c r="F885" s="154">
        <v>37</v>
      </c>
    </row>
    <row r="886" spans="2:6" x14ac:dyDescent="0.35">
      <c r="B886" s="153">
        <v>43982</v>
      </c>
      <c r="C886" t="s">
        <v>813</v>
      </c>
      <c r="D886" t="s">
        <v>333</v>
      </c>
      <c r="E886" s="12">
        <v>3</v>
      </c>
      <c r="F886" s="154">
        <v>58</v>
      </c>
    </row>
    <row r="887" spans="2:6" x14ac:dyDescent="0.35">
      <c r="B887" s="153">
        <v>43983</v>
      </c>
      <c r="C887" t="s">
        <v>812</v>
      </c>
      <c r="D887" t="s">
        <v>12</v>
      </c>
      <c r="E887" s="12">
        <v>1</v>
      </c>
      <c r="F887" s="154">
        <v>53</v>
      </c>
    </row>
    <row r="888" spans="2:6" x14ac:dyDescent="0.35">
      <c r="B888" s="153">
        <v>43984</v>
      </c>
      <c r="C888" t="s">
        <v>812</v>
      </c>
      <c r="D888" t="s">
        <v>15</v>
      </c>
      <c r="E888" s="12">
        <v>2</v>
      </c>
      <c r="F888" s="154">
        <v>34</v>
      </c>
    </row>
    <row r="889" spans="2:6" x14ac:dyDescent="0.35">
      <c r="B889" s="153">
        <v>43985</v>
      </c>
      <c r="C889" t="s">
        <v>812</v>
      </c>
      <c r="D889" t="s">
        <v>10</v>
      </c>
      <c r="E889" s="12">
        <v>2</v>
      </c>
      <c r="F889" s="154">
        <v>64</v>
      </c>
    </row>
    <row r="890" spans="2:6" x14ac:dyDescent="0.35">
      <c r="B890" s="153">
        <v>43986</v>
      </c>
      <c r="C890" t="s">
        <v>812</v>
      </c>
      <c r="D890" t="s">
        <v>12</v>
      </c>
      <c r="E890" s="12">
        <v>4</v>
      </c>
      <c r="F890" s="154">
        <v>31</v>
      </c>
    </row>
    <row r="891" spans="2:6" x14ac:dyDescent="0.35">
      <c r="B891" s="153">
        <v>43987</v>
      </c>
      <c r="C891" t="s">
        <v>813</v>
      </c>
      <c r="D891" t="s">
        <v>14</v>
      </c>
      <c r="E891" s="12">
        <v>1</v>
      </c>
      <c r="F891" s="154">
        <v>32</v>
      </c>
    </row>
    <row r="892" spans="2:6" x14ac:dyDescent="0.35">
      <c r="B892" s="153">
        <v>43988</v>
      </c>
      <c r="C892" t="s">
        <v>813</v>
      </c>
      <c r="D892" t="s">
        <v>15</v>
      </c>
      <c r="E892" s="12">
        <v>1</v>
      </c>
      <c r="F892" s="154">
        <v>65</v>
      </c>
    </row>
    <row r="893" spans="2:6" x14ac:dyDescent="0.35">
      <c r="B893" s="153">
        <v>43989</v>
      </c>
      <c r="C893" t="s">
        <v>812</v>
      </c>
      <c r="D893" t="s">
        <v>14</v>
      </c>
      <c r="E893" s="12">
        <v>4</v>
      </c>
      <c r="F893" s="154">
        <v>46</v>
      </c>
    </row>
    <row r="894" spans="2:6" x14ac:dyDescent="0.35">
      <c r="B894" s="153">
        <v>43990</v>
      </c>
      <c r="C894" t="s">
        <v>813</v>
      </c>
      <c r="D894" t="s">
        <v>11</v>
      </c>
      <c r="E894" s="12">
        <v>2</v>
      </c>
      <c r="F894" s="154">
        <v>22</v>
      </c>
    </row>
    <row r="895" spans="2:6" x14ac:dyDescent="0.35">
      <c r="B895" s="153">
        <v>43991</v>
      </c>
      <c r="C895" t="s">
        <v>813</v>
      </c>
      <c r="D895" t="s">
        <v>14</v>
      </c>
      <c r="E895" s="12">
        <v>3</v>
      </c>
      <c r="F895" s="154">
        <v>42</v>
      </c>
    </row>
    <row r="896" spans="2:6" x14ac:dyDescent="0.35">
      <c r="B896" s="153">
        <v>43992</v>
      </c>
      <c r="C896" t="s">
        <v>812</v>
      </c>
      <c r="D896" t="s">
        <v>333</v>
      </c>
      <c r="E896" s="12">
        <v>1</v>
      </c>
      <c r="F896" s="154">
        <v>24</v>
      </c>
    </row>
    <row r="897" spans="2:6" x14ac:dyDescent="0.35">
      <c r="B897" s="153">
        <v>43993</v>
      </c>
      <c r="C897" t="s">
        <v>812</v>
      </c>
      <c r="D897" t="s">
        <v>11</v>
      </c>
      <c r="E897" s="12">
        <v>3</v>
      </c>
      <c r="F897" s="154">
        <v>34</v>
      </c>
    </row>
    <row r="898" spans="2:6" x14ac:dyDescent="0.35">
      <c r="B898" s="153">
        <v>43994</v>
      </c>
      <c r="C898" t="s">
        <v>812</v>
      </c>
      <c r="D898" t="s">
        <v>9</v>
      </c>
      <c r="E898" s="12">
        <v>5</v>
      </c>
      <c r="F898" s="154">
        <v>46</v>
      </c>
    </row>
    <row r="899" spans="2:6" x14ac:dyDescent="0.35">
      <c r="B899" s="153">
        <v>43995</v>
      </c>
      <c r="C899" t="s">
        <v>812</v>
      </c>
      <c r="D899" t="s">
        <v>17</v>
      </c>
      <c r="E899" s="12">
        <v>1</v>
      </c>
      <c r="F899" s="154">
        <v>30</v>
      </c>
    </row>
    <row r="900" spans="2:6" x14ac:dyDescent="0.35">
      <c r="B900" s="153">
        <v>43996</v>
      </c>
      <c r="C900" t="s">
        <v>812</v>
      </c>
      <c r="D900" t="s">
        <v>333</v>
      </c>
      <c r="E900" s="12">
        <v>2</v>
      </c>
      <c r="F900" s="154">
        <v>22</v>
      </c>
    </row>
    <row r="901" spans="2:6" x14ac:dyDescent="0.35">
      <c r="B901" s="153">
        <v>43997</v>
      </c>
      <c r="C901" t="s">
        <v>812</v>
      </c>
      <c r="D901" t="s">
        <v>12</v>
      </c>
      <c r="E901" s="12">
        <v>3</v>
      </c>
      <c r="F901" s="154">
        <v>44</v>
      </c>
    </row>
    <row r="902" spans="2:6" x14ac:dyDescent="0.35">
      <c r="B902" s="153">
        <v>43998</v>
      </c>
      <c r="C902" t="s">
        <v>812</v>
      </c>
      <c r="D902" t="s">
        <v>17</v>
      </c>
      <c r="E902" s="12">
        <v>1</v>
      </c>
      <c r="F902" s="154">
        <v>51</v>
      </c>
    </row>
    <row r="903" spans="2:6" x14ac:dyDescent="0.35">
      <c r="B903" s="153">
        <v>43999</v>
      </c>
      <c r="C903" t="s">
        <v>812</v>
      </c>
      <c r="D903" t="s">
        <v>15</v>
      </c>
      <c r="E903" s="12">
        <v>3</v>
      </c>
      <c r="F903" s="154">
        <v>56</v>
      </c>
    </row>
    <row r="904" spans="2:6" x14ac:dyDescent="0.35">
      <c r="B904" s="153">
        <v>44000</v>
      </c>
      <c r="C904" t="s">
        <v>812</v>
      </c>
      <c r="D904" t="s">
        <v>9</v>
      </c>
      <c r="E904" s="12">
        <v>1</v>
      </c>
      <c r="F904" s="154">
        <v>59</v>
      </c>
    </row>
    <row r="905" spans="2:6" x14ac:dyDescent="0.35">
      <c r="B905" s="153">
        <v>44001</v>
      </c>
      <c r="C905" t="s">
        <v>813</v>
      </c>
      <c r="D905" t="s">
        <v>12</v>
      </c>
      <c r="E905" s="12">
        <v>1</v>
      </c>
      <c r="F905" s="154">
        <v>47</v>
      </c>
    </row>
    <row r="906" spans="2:6" x14ac:dyDescent="0.35">
      <c r="B906" s="153">
        <v>44002</v>
      </c>
      <c r="C906" t="s">
        <v>812</v>
      </c>
      <c r="D906" t="s">
        <v>14</v>
      </c>
      <c r="E906" s="12">
        <v>3</v>
      </c>
      <c r="F906" s="154">
        <v>48</v>
      </c>
    </row>
    <row r="907" spans="2:6" x14ac:dyDescent="0.35">
      <c r="B907" s="153">
        <v>44003</v>
      </c>
      <c r="C907" t="s">
        <v>813</v>
      </c>
      <c r="D907" t="s">
        <v>11</v>
      </c>
      <c r="E907" s="12">
        <v>2</v>
      </c>
      <c r="F907" s="154">
        <v>59</v>
      </c>
    </row>
    <row r="908" spans="2:6" x14ac:dyDescent="0.35">
      <c r="B908" s="153">
        <v>44004</v>
      </c>
      <c r="C908" t="s">
        <v>813</v>
      </c>
      <c r="D908" t="s">
        <v>16</v>
      </c>
      <c r="E908" s="12">
        <v>3</v>
      </c>
      <c r="F908" s="154">
        <v>41</v>
      </c>
    </row>
    <row r="909" spans="2:6" x14ac:dyDescent="0.35">
      <c r="B909" s="153">
        <v>44005</v>
      </c>
      <c r="C909" t="s">
        <v>813</v>
      </c>
      <c r="D909" t="s">
        <v>12</v>
      </c>
      <c r="E909" s="12">
        <v>3</v>
      </c>
      <c r="F909" s="154">
        <v>31</v>
      </c>
    </row>
    <row r="910" spans="2:6" x14ac:dyDescent="0.35">
      <c r="B910" s="153">
        <v>44006</v>
      </c>
      <c r="C910" t="s">
        <v>812</v>
      </c>
      <c r="D910" t="s">
        <v>15</v>
      </c>
      <c r="E910" s="12">
        <v>1</v>
      </c>
      <c r="F910" s="154">
        <v>17</v>
      </c>
    </row>
    <row r="911" spans="2:6" x14ac:dyDescent="0.35">
      <c r="B911" s="153">
        <v>44007</v>
      </c>
      <c r="C911" t="s">
        <v>813</v>
      </c>
      <c r="D911" t="s">
        <v>333</v>
      </c>
      <c r="E911" s="12">
        <v>2</v>
      </c>
      <c r="F911" s="154">
        <v>50</v>
      </c>
    </row>
    <row r="912" spans="2:6" x14ac:dyDescent="0.35">
      <c r="B912" s="153">
        <v>44008</v>
      </c>
      <c r="C912" t="s">
        <v>813</v>
      </c>
      <c r="D912" t="s">
        <v>10</v>
      </c>
      <c r="E912" s="12">
        <v>5</v>
      </c>
      <c r="F912" s="154">
        <v>19</v>
      </c>
    </row>
    <row r="913" spans="2:6" x14ac:dyDescent="0.35">
      <c r="B913" s="153">
        <v>44009</v>
      </c>
      <c r="C913" t="s">
        <v>813</v>
      </c>
      <c r="D913" t="s">
        <v>9</v>
      </c>
      <c r="E913" s="12">
        <v>5</v>
      </c>
      <c r="F913" s="154">
        <v>43</v>
      </c>
    </row>
    <row r="914" spans="2:6" x14ac:dyDescent="0.35">
      <c r="B914" s="153">
        <v>44010</v>
      </c>
      <c r="C914" t="s">
        <v>812</v>
      </c>
      <c r="D914" t="s">
        <v>11</v>
      </c>
      <c r="E914" s="12">
        <v>3</v>
      </c>
      <c r="F914" s="154">
        <v>17</v>
      </c>
    </row>
    <row r="915" spans="2:6" x14ac:dyDescent="0.35">
      <c r="B915" s="153">
        <v>44011</v>
      </c>
      <c r="C915" t="s">
        <v>813</v>
      </c>
      <c r="D915" t="s">
        <v>13</v>
      </c>
      <c r="E915" s="12">
        <v>4</v>
      </c>
      <c r="F915" s="154">
        <v>34</v>
      </c>
    </row>
    <row r="916" spans="2:6" x14ac:dyDescent="0.35">
      <c r="B916" s="153">
        <v>44012</v>
      </c>
      <c r="C916" t="s">
        <v>812</v>
      </c>
      <c r="D916" t="s">
        <v>9</v>
      </c>
      <c r="E916" s="12">
        <v>1</v>
      </c>
      <c r="F916" s="154">
        <v>51</v>
      </c>
    </row>
    <row r="917" spans="2:6" x14ac:dyDescent="0.35">
      <c r="B917" s="153">
        <v>44013</v>
      </c>
      <c r="C917" t="s">
        <v>813</v>
      </c>
      <c r="D917" t="s">
        <v>9</v>
      </c>
      <c r="E917" s="12">
        <v>4</v>
      </c>
      <c r="F917" s="154">
        <v>22</v>
      </c>
    </row>
    <row r="918" spans="2:6" x14ac:dyDescent="0.35">
      <c r="B918" s="153">
        <v>44014</v>
      </c>
      <c r="C918" t="s">
        <v>812</v>
      </c>
      <c r="D918" t="s">
        <v>16</v>
      </c>
      <c r="E918" s="12">
        <v>2</v>
      </c>
      <c r="F918" s="154">
        <v>42</v>
      </c>
    </row>
    <row r="919" spans="2:6" x14ac:dyDescent="0.35">
      <c r="B919" s="153">
        <v>44015</v>
      </c>
      <c r="C919" t="s">
        <v>813</v>
      </c>
      <c r="D919" t="s">
        <v>10</v>
      </c>
      <c r="E919" s="12">
        <v>1</v>
      </c>
      <c r="F919" s="154">
        <v>50</v>
      </c>
    </row>
    <row r="920" spans="2:6" x14ac:dyDescent="0.35">
      <c r="B920" s="153">
        <v>44016</v>
      </c>
      <c r="C920" t="s">
        <v>812</v>
      </c>
      <c r="D920" t="s">
        <v>12</v>
      </c>
      <c r="E920" s="12">
        <v>1</v>
      </c>
      <c r="F920" s="154">
        <v>54</v>
      </c>
    </row>
    <row r="921" spans="2:6" x14ac:dyDescent="0.35">
      <c r="B921" s="153">
        <v>44017</v>
      </c>
      <c r="C921" t="s">
        <v>813</v>
      </c>
      <c r="D921" t="s">
        <v>12</v>
      </c>
      <c r="E921" s="12">
        <v>1</v>
      </c>
      <c r="F921" s="154">
        <v>15</v>
      </c>
    </row>
    <row r="922" spans="2:6" x14ac:dyDescent="0.35">
      <c r="B922" s="153">
        <v>44018</v>
      </c>
      <c r="C922" t="s">
        <v>812</v>
      </c>
      <c r="D922" t="s">
        <v>12</v>
      </c>
      <c r="E922" s="12">
        <v>3</v>
      </c>
      <c r="F922" s="154">
        <v>66</v>
      </c>
    </row>
    <row r="923" spans="2:6" x14ac:dyDescent="0.35">
      <c r="B923" s="153">
        <v>44019</v>
      </c>
      <c r="C923" t="s">
        <v>812</v>
      </c>
      <c r="D923" t="s">
        <v>14</v>
      </c>
      <c r="E923" s="12">
        <v>1</v>
      </c>
      <c r="F923" s="154">
        <v>20</v>
      </c>
    </row>
    <row r="924" spans="2:6" x14ac:dyDescent="0.35">
      <c r="B924" s="153">
        <v>44020</v>
      </c>
      <c r="C924" t="s">
        <v>813</v>
      </c>
      <c r="D924" t="s">
        <v>9</v>
      </c>
      <c r="E924" s="12">
        <v>5</v>
      </c>
      <c r="F924" s="154">
        <v>67</v>
      </c>
    </row>
    <row r="925" spans="2:6" x14ac:dyDescent="0.35">
      <c r="B925" s="153">
        <v>44021</v>
      </c>
      <c r="C925" t="s">
        <v>813</v>
      </c>
      <c r="D925" t="s">
        <v>17</v>
      </c>
      <c r="E925" s="12">
        <v>1</v>
      </c>
      <c r="F925" s="154">
        <v>53</v>
      </c>
    </row>
    <row r="926" spans="2:6" x14ac:dyDescent="0.35">
      <c r="B926" s="153">
        <v>44022</v>
      </c>
      <c r="C926" t="s">
        <v>812</v>
      </c>
      <c r="D926" t="s">
        <v>12</v>
      </c>
      <c r="E926" s="12">
        <v>4</v>
      </c>
      <c r="F926" s="154">
        <v>34</v>
      </c>
    </row>
    <row r="927" spans="2:6" x14ac:dyDescent="0.35">
      <c r="B927" s="153">
        <v>44023</v>
      </c>
      <c r="C927" t="s">
        <v>813</v>
      </c>
      <c r="D927" t="s">
        <v>333</v>
      </c>
      <c r="E927" s="12">
        <v>4</v>
      </c>
      <c r="F927" s="154">
        <v>56</v>
      </c>
    </row>
    <row r="928" spans="2:6" x14ac:dyDescent="0.35">
      <c r="B928" s="153">
        <v>44024</v>
      </c>
      <c r="C928" t="s">
        <v>813</v>
      </c>
      <c r="D928" t="s">
        <v>9</v>
      </c>
      <c r="E928" s="12">
        <v>5</v>
      </c>
      <c r="F928" s="154">
        <v>46</v>
      </c>
    </row>
    <row r="929" spans="2:6" x14ac:dyDescent="0.35">
      <c r="B929" s="153">
        <v>44025</v>
      </c>
      <c r="C929" t="s">
        <v>813</v>
      </c>
      <c r="D929" t="s">
        <v>14</v>
      </c>
      <c r="E929" s="12">
        <v>5</v>
      </c>
      <c r="F929" s="154">
        <v>54</v>
      </c>
    </row>
    <row r="930" spans="2:6" x14ac:dyDescent="0.35">
      <c r="B930" s="153">
        <v>44026</v>
      </c>
      <c r="C930" t="s">
        <v>813</v>
      </c>
      <c r="D930" t="s">
        <v>333</v>
      </c>
      <c r="E930" s="12">
        <v>1</v>
      </c>
      <c r="F930" s="154">
        <v>24</v>
      </c>
    </row>
    <row r="931" spans="2:6" x14ac:dyDescent="0.35">
      <c r="B931" s="153">
        <v>44027</v>
      </c>
      <c r="C931" t="s">
        <v>813</v>
      </c>
      <c r="D931" t="s">
        <v>16</v>
      </c>
      <c r="E931" s="12">
        <v>3</v>
      </c>
      <c r="F931" s="154">
        <v>62</v>
      </c>
    </row>
    <row r="932" spans="2:6" x14ac:dyDescent="0.35">
      <c r="B932" s="153">
        <v>44028</v>
      </c>
      <c r="C932" t="s">
        <v>813</v>
      </c>
      <c r="D932" t="s">
        <v>11</v>
      </c>
      <c r="E932" s="12">
        <v>1</v>
      </c>
      <c r="F932" s="154">
        <v>24</v>
      </c>
    </row>
    <row r="933" spans="2:6" x14ac:dyDescent="0.35">
      <c r="B933" s="153">
        <v>44029</v>
      </c>
      <c r="C933" t="s">
        <v>812</v>
      </c>
      <c r="D933" t="s">
        <v>13</v>
      </c>
      <c r="E933" s="12">
        <v>5</v>
      </c>
      <c r="F933" s="154">
        <v>36</v>
      </c>
    </row>
    <row r="934" spans="2:6" x14ac:dyDescent="0.35">
      <c r="B934" s="153">
        <v>44030</v>
      </c>
      <c r="C934" t="s">
        <v>813</v>
      </c>
      <c r="D934" t="s">
        <v>16</v>
      </c>
      <c r="E934" s="12">
        <v>4</v>
      </c>
      <c r="F934" s="154">
        <v>68</v>
      </c>
    </row>
    <row r="935" spans="2:6" x14ac:dyDescent="0.35">
      <c r="B935" s="153">
        <v>44031</v>
      </c>
      <c r="C935" t="s">
        <v>812</v>
      </c>
      <c r="D935" t="s">
        <v>17</v>
      </c>
      <c r="E935" s="12">
        <v>2</v>
      </c>
      <c r="F935" s="154">
        <v>51</v>
      </c>
    </row>
    <row r="936" spans="2:6" x14ac:dyDescent="0.35">
      <c r="B936" s="153">
        <v>44032</v>
      </c>
      <c r="C936" t="s">
        <v>813</v>
      </c>
      <c r="D936" t="s">
        <v>333</v>
      </c>
      <c r="E936" s="12">
        <v>4</v>
      </c>
      <c r="F936" s="154">
        <v>18</v>
      </c>
    </row>
    <row r="937" spans="2:6" x14ac:dyDescent="0.35">
      <c r="B937" s="153">
        <v>44033</v>
      </c>
      <c r="C937" t="s">
        <v>813</v>
      </c>
      <c r="D937" t="s">
        <v>15</v>
      </c>
      <c r="E937" s="12">
        <v>1</v>
      </c>
      <c r="F937" s="154">
        <v>28</v>
      </c>
    </row>
    <row r="938" spans="2:6" x14ac:dyDescent="0.35">
      <c r="B938" s="153">
        <v>44034</v>
      </c>
      <c r="C938" t="s">
        <v>812</v>
      </c>
      <c r="D938" t="s">
        <v>15</v>
      </c>
      <c r="E938" s="12">
        <v>4</v>
      </c>
      <c r="F938" s="154">
        <v>31</v>
      </c>
    </row>
    <row r="939" spans="2:6" x14ac:dyDescent="0.35">
      <c r="B939" s="153">
        <v>44035</v>
      </c>
      <c r="C939" t="s">
        <v>812</v>
      </c>
      <c r="D939" t="s">
        <v>333</v>
      </c>
      <c r="E939" s="12">
        <v>4</v>
      </c>
      <c r="F939" s="154">
        <v>37</v>
      </c>
    </row>
    <row r="940" spans="2:6" x14ac:dyDescent="0.35">
      <c r="B940" s="153">
        <v>44036</v>
      </c>
      <c r="C940" t="s">
        <v>813</v>
      </c>
      <c r="D940" t="s">
        <v>11</v>
      </c>
      <c r="E940" s="12">
        <v>2</v>
      </c>
      <c r="F940" s="154">
        <v>33</v>
      </c>
    </row>
    <row r="941" spans="2:6" x14ac:dyDescent="0.35">
      <c r="B941" s="153">
        <v>44037</v>
      </c>
      <c r="C941" t="s">
        <v>812</v>
      </c>
      <c r="D941" t="s">
        <v>15</v>
      </c>
      <c r="E941" s="12">
        <v>3</v>
      </c>
      <c r="F941" s="154">
        <v>34</v>
      </c>
    </row>
    <row r="942" spans="2:6" x14ac:dyDescent="0.35">
      <c r="B942" s="153">
        <v>44038</v>
      </c>
      <c r="C942" t="s">
        <v>812</v>
      </c>
      <c r="D942" t="s">
        <v>15</v>
      </c>
      <c r="E942" s="12">
        <v>2</v>
      </c>
      <c r="F942" s="154">
        <v>60</v>
      </c>
    </row>
    <row r="943" spans="2:6" x14ac:dyDescent="0.35">
      <c r="B943" s="153">
        <v>44039</v>
      </c>
      <c r="C943" t="s">
        <v>812</v>
      </c>
      <c r="D943" t="s">
        <v>17</v>
      </c>
      <c r="E943" s="12">
        <v>3</v>
      </c>
      <c r="F943" s="154">
        <v>38</v>
      </c>
    </row>
    <row r="944" spans="2:6" x14ac:dyDescent="0.35">
      <c r="B944" s="153">
        <v>44040</v>
      </c>
      <c r="C944" t="s">
        <v>812</v>
      </c>
      <c r="D944" t="s">
        <v>15</v>
      </c>
      <c r="E944" s="12">
        <v>5</v>
      </c>
      <c r="F944" s="154">
        <v>46</v>
      </c>
    </row>
    <row r="945" spans="2:6" x14ac:dyDescent="0.35">
      <c r="B945" s="153">
        <v>44041</v>
      </c>
      <c r="C945" t="s">
        <v>813</v>
      </c>
      <c r="D945" t="s">
        <v>333</v>
      </c>
      <c r="E945" s="12">
        <v>5</v>
      </c>
      <c r="F945" s="154">
        <v>35</v>
      </c>
    </row>
    <row r="946" spans="2:6" x14ac:dyDescent="0.35">
      <c r="B946" s="153">
        <v>44042</v>
      </c>
      <c r="C946" t="s">
        <v>812</v>
      </c>
      <c r="D946" t="s">
        <v>17</v>
      </c>
      <c r="E946" s="12">
        <v>3</v>
      </c>
      <c r="F946" s="154">
        <v>45</v>
      </c>
    </row>
    <row r="947" spans="2:6" x14ac:dyDescent="0.35">
      <c r="B947" s="153">
        <v>44043</v>
      </c>
      <c r="C947" t="s">
        <v>812</v>
      </c>
      <c r="D947" t="s">
        <v>15</v>
      </c>
      <c r="E947" s="12">
        <v>5</v>
      </c>
      <c r="F947" s="154">
        <v>37</v>
      </c>
    </row>
    <row r="948" spans="2:6" x14ac:dyDescent="0.35">
      <c r="B948" s="153">
        <v>44044</v>
      </c>
      <c r="C948" t="s">
        <v>812</v>
      </c>
      <c r="D948" t="s">
        <v>17</v>
      </c>
      <c r="E948" s="12">
        <v>2</v>
      </c>
      <c r="F948" s="154">
        <v>58</v>
      </c>
    </row>
    <row r="949" spans="2:6" x14ac:dyDescent="0.35">
      <c r="B949" s="153">
        <v>44045</v>
      </c>
      <c r="C949" t="s">
        <v>813</v>
      </c>
      <c r="D949" t="s">
        <v>11</v>
      </c>
      <c r="E949" s="12">
        <v>1</v>
      </c>
      <c r="F949" s="154">
        <v>64</v>
      </c>
    </row>
    <row r="950" spans="2:6" x14ac:dyDescent="0.35">
      <c r="B950" s="153">
        <v>44046</v>
      </c>
      <c r="C950" t="s">
        <v>813</v>
      </c>
      <c r="D950" t="s">
        <v>17</v>
      </c>
      <c r="E950" s="12">
        <v>5</v>
      </c>
      <c r="F950" s="154">
        <v>37</v>
      </c>
    </row>
    <row r="951" spans="2:6" x14ac:dyDescent="0.35">
      <c r="B951" s="153">
        <v>44047</v>
      </c>
      <c r="C951" t="s">
        <v>813</v>
      </c>
      <c r="D951" t="s">
        <v>15</v>
      </c>
      <c r="E951" s="12">
        <v>4</v>
      </c>
      <c r="F951" s="154">
        <v>42</v>
      </c>
    </row>
    <row r="952" spans="2:6" x14ac:dyDescent="0.35">
      <c r="B952" s="153">
        <v>44048</v>
      </c>
      <c r="C952" t="s">
        <v>812</v>
      </c>
      <c r="D952" t="s">
        <v>15</v>
      </c>
      <c r="E952" s="12">
        <v>1</v>
      </c>
      <c r="F952" s="154">
        <v>49</v>
      </c>
    </row>
    <row r="953" spans="2:6" x14ac:dyDescent="0.35">
      <c r="B953" s="153">
        <v>44049</v>
      </c>
      <c r="C953" t="s">
        <v>813</v>
      </c>
      <c r="D953" t="s">
        <v>10</v>
      </c>
      <c r="E953" s="12">
        <v>3</v>
      </c>
      <c r="F953" s="154">
        <v>63</v>
      </c>
    </row>
    <row r="954" spans="2:6" x14ac:dyDescent="0.35">
      <c r="B954" s="153">
        <v>44050</v>
      </c>
      <c r="C954" t="s">
        <v>813</v>
      </c>
      <c r="D954" t="s">
        <v>9</v>
      </c>
      <c r="E954" s="12">
        <v>4</v>
      </c>
      <c r="F954" s="154">
        <v>63</v>
      </c>
    </row>
    <row r="955" spans="2:6" x14ac:dyDescent="0.35">
      <c r="B955" s="153">
        <v>44051</v>
      </c>
      <c r="C955" t="s">
        <v>812</v>
      </c>
      <c r="D955" t="s">
        <v>15</v>
      </c>
      <c r="E955" s="12">
        <v>3</v>
      </c>
      <c r="F955" s="154">
        <v>26</v>
      </c>
    </row>
    <row r="956" spans="2:6" x14ac:dyDescent="0.35">
      <c r="B956" s="153">
        <v>44052</v>
      </c>
      <c r="C956" t="s">
        <v>812</v>
      </c>
      <c r="D956" t="s">
        <v>10</v>
      </c>
      <c r="E956" s="12">
        <v>3</v>
      </c>
      <c r="F956" s="154">
        <v>49</v>
      </c>
    </row>
    <row r="957" spans="2:6" x14ac:dyDescent="0.35">
      <c r="B957" s="153">
        <v>44053</v>
      </c>
      <c r="C957" t="s">
        <v>812</v>
      </c>
      <c r="D957" t="s">
        <v>15</v>
      </c>
      <c r="E957" s="12">
        <v>2</v>
      </c>
      <c r="F957" s="154">
        <v>29</v>
      </c>
    </row>
    <row r="958" spans="2:6" x14ac:dyDescent="0.35">
      <c r="B958" s="153">
        <v>44054</v>
      </c>
      <c r="C958" t="s">
        <v>812</v>
      </c>
      <c r="D958" t="s">
        <v>10</v>
      </c>
      <c r="E958" s="12">
        <v>3</v>
      </c>
      <c r="F958" s="154">
        <v>35</v>
      </c>
    </row>
    <row r="959" spans="2:6" x14ac:dyDescent="0.35">
      <c r="B959" s="153">
        <v>44055</v>
      </c>
      <c r="C959" t="s">
        <v>812</v>
      </c>
      <c r="D959" t="s">
        <v>13</v>
      </c>
      <c r="E959" s="12">
        <v>3</v>
      </c>
      <c r="F959" s="154">
        <v>39</v>
      </c>
    </row>
    <row r="960" spans="2:6" x14ac:dyDescent="0.35">
      <c r="B960" s="153">
        <v>44056</v>
      </c>
      <c r="C960" t="s">
        <v>813</v>
      </c>
      <c r="D960" t="s">
        <v>13</v>
      </c>
      <c r="E960" s="12">
        <v>5</v>
      </c>
      <c r="F960" s="154">
        <v>30</v>
      </c>
    </row>
    <row r="961" spans="2:6" x14ac:dyDescent="0.35">
      <c r="B961" s="153">
        <v>44057</v>
      </c>
      <c r="C961" t="s">
        <v>813</v>
      </c>
      <c r="D961" t="s">
        <v>11</v>
      </c>
      <c r="E961" s="12">
        <v>4</v>
      </c>
      <c r="F961" s="154">
        <v>52</v>
      </c>
    </row>
    <row r="962" spans="2:6" x14ac:dyDescent="0.35">
      <c r="B962" s="153">
        <v>44058</v>
      </c>
      <c r="C962" t="s">
        <v>813</v>
      </c>
      <c r="D962" t="s">
        <v>17</v>
      </c>
      <c r="E962" s="12">
        <v>1</v>
      </c>
      <c r="F962" s="154">
        <v>64</v>
      </c>
    </row>
    <row r="963" spans="2:6" x14ac:dyDescent="0.35">
      <c r="B963" s="153">
        <v>44059</v>
      </c>
      <c r="C963" t="s">
        <v>813</v>
      </c>
      <c r="D963" t="s">
        <v>15</v>
      </c>
      <c r="E963" s="12">
        <v>3</v>
      </c>
      <c r="F963" s="154">
        <v>48</v>
      </c>
    </row>
    <row r="964" spans="2:6" x14ac:dyDescent="0.35">
      <c r="B964" s="153">
        <v>44060</v>
      </c>
      <c r="C964" t="s">
        <v>813</v>
      </c>
      <c r="D964" t="s">
        <v>11</v>
      </c>
      <c r="E964" s="12">
        <v>3</v>
      </c>
      <c r="F964" s="154">
        <v>23</v>
      </c>
    </row>
    <row r="965" spans="2:6" x14ac:dyDescent="0.35">
      <c r="B965" s="153">
        <v>44061</v>
      </c>
      <c r="C965" t="s">
        <v>812</v>
      </c>
      <c r="D965" t="s">
        <v>13</v>
      </c>
      <c r="E965" s="12">
        <v>5</v>
      </c>
      <c r="F965" s="154">
        <v>61</v>
      </c>
    </row>
    <row r="966" spans="2:6" x14ac:dyDescent="0.35">
      <c r="B966" s="153">
        <v>44062</v>
      </c>
      <c r="C966" t="s">
        <v>813</v>
      </c>
      <c r="D966" t="s">
        <v>16</v>
      </c>
      <c r="E966" s="12">
        <v>2</v>
      </c>
      <c r="F966" s="154">
        <v>70</v>
      </c>
    </row>
    <row r="967" spans="2:6" x14ac:dyDescent="0.35">
      <c r="B967" s="153">
        <v>44063</v>
      </c>
      <c r="C967" t="s">
        <v>812</v>
      </c>
      <c r="D967" t="s">
        <v>17</v>
      </c>
      <c r="E967" s="12">
        <v>2</v>
      </c>
      <c r="F967" s="154">
        <v>58</v>
      </c>
    </row>
    <row r="968" spans="2:6" x14ac:dyDescent="0.35">
      <c r="B968" s="153">
        <v>44064</v>
      </c>
      <c r="C968" t="s">
        <v>813</v>
      </c>
      <c r="D968" t="s">
        <v>17</v>
      </c>
      <c r="E968" s="12">
        <v>1</v>
      </c>
      <c r="F968" s="154">
        <v>24</v>
      </c>
    </row>
    <row r="969" spans="2:6" x14ac:dyDescent="0.35">
      <c r="B969" s="153">
        <v>44065</v>
      </c>
      <c r="C969" t="s">
        <v>813</v>
      </c>
      <c r="D969" t="s">
        <v>11</v>
      </c>
      <c r="E969" s="12">
        <v>4</v>
      </c>
      <c r="F969" s="154">
        <v>16</v>
      </c>
    </row>
    <row r="970" spans="2:6" x14ac:dyDescent="0.35">
      <c r="B970" s="153">
        <v>44066</v>
      </c>
      <c r="C970" t="s">
        <v>813</v>
      </c>
      <c r="D970" t="s">
        <v>14</v>
      </c>
      <c r="E970" s="12">
        <v>2</v>
      </c>
      <c r="F970" s="154">
        <v>61</v>
      </c>
    </row>
    <row r="971" spans="2:6" x14ac:dyDescent="0.35">
      <c r="B971" s="153">
        <v>44067</v>
      </c>
      <c r="C971" t="s">
        <v>813</v>
      </c>
      <c r="D971" t="s">
        <v>14</v>
      </c>
      <c r="E971" s="12">
        <v>1</v>
      </c>
      <c r="F971" s="154">
        <v>43</v>
      </c>
    </row>
    <row r="972" spans="2:6" x14ac:dyDescent="0.35">
      <c r="B972" s="153">
        <v>44068</v>
      </c>
      <c r="C972" t="s">
        <v>812</v>
      </c>
      <c r="D972" t="s">
        <v>17</v>
      </c>
      <c r="E972" s="12">
        <v>3</v>
      </c>
      <c r="F972" s="154">
        <v>18</v>
      </c>
    </row>
    <row r="973" spans="2:6" x14ac:dyDescent="0.35">
      <c r="B973" s="153">
        <v>44069</v>
      </c>
      <c r="C973" t="s">
        <v>813</v>
      </c>
      <c r="D973" t="s">
        <v>14</v>
      </c>
      <c r="E973" s="12">
        <v>5</v>
      </c>
      <c r="F973" s="154">
        <v>61</v>
      </c>
    </row>
    <row r="974" spans="2:6" x14ac:dyDescent="0.35">
      <c r="B974" s="153">
        <v>44070</v>
      </c>
      <c r="C974" t="s">
        <v>813</v>
      </c>
      <c r="D974" t="s">
        <v>17</v>
      </c>
      <c r="E974" s="12">
        <v>2</v>
      </c>
      <c r="F974" s="154">
        <v>26</v>
      </c>
    </row>
    <row r="975" spans="2:6" x14ac:dyDescent="0.35">
      <c r="B975" s="153">
        <v>44071</v>
      </c>
      <c r="C975" t="s">
        <v>812</v>
      </c>
      <c r="D975" t="s">
        <v>13</v>
      </c>
      <c r="E975" s="12">
        <v>5</v>
      </c>
      <c r="F975" s="154">
        <v>43</v>
      </c>
    </row>
    <row r="976" spans="2:6" x14ac:dyDescent="0.35">
      <c r="B976" s="153">
        <v>44072</v>
      </c>
      <c r="C976" t="s">
        <v>812</v>
      </c>
      <c r="D976" t="s">
        <v>17</v>
      </c>
      <c r="E976" s="12">
        <v>5</v>
      </c>
      <c r="F976" s="154">
        <v>67</v>
      </c>
    </row>
    <row r="977" spans="2:6" x14ac:dyDescent="0.35">
      <c r="B977" s="153">
        <v>44073</v>
      </c>
      <c r="C977" t="s">
        <v>813</v>
      </c>
      <c r="D977" t="s">
        <v>9</v>
      </c>
      <c r="E977" s="12">
        <v>3</v>
      </c>
      <c r="F977" s="154">
        <v>30</v>
      </c>
    </row>
    <row r="978" spans="2:6" x14ac:dyDescent="0.35">
      <c r="B978" s="153">
        <v>44074</v>
      </c>
      <c r="C978" t="s">
        <v>813</v>
      </c>
      <c r="D978" t="s">
        <v>16</v>
      </c>
      <c r="E978" s="12">
        <v>3</v>
      </c>
      <c r="F978" s="154">
        <v>27</v>
      </c>
    </row>
    <row r="979" spans="2:6" x14ac:dyDescent="0.35">
      <c r="B979" s="153">
        <v>44075</v>
      </c>
      <c r="C979" t="s">
        <v>813</v>
      </c>
      <c r="D979" t="s">
        <v>333</v>
      </c>
      <c r="E979" s="12">
        <v>4</v>
      </c>
      <c r="F979" s="154">
        <v>35</v>
      </c>
    </row>
    <row r="980" spans="2:6" x14ac:dyDescent="0.35">
      <c r="B980" s="153">
        <v>44076</v>
      </c>
      <c r="C980" t="s">
        <v>813</v>
      </c>
      <c r="D980" t="s">
        <v>12</v>
      </c>
      <c r="E980" s="12">
        <v>3</v>
      </c>
      <c r="F980" s="154">
        <v>34</v>
      </c>
    </row>
    <row r="981" spans="2:6" x14ac:dyDescent="0.35">
      <c r="B981" s="153">
        <v>44077</v>
      </c>
      <c r="C981" t="s">
        <v>813</v>
      </c>
      <c r="D981" t="s">
        <v>17</v>
      </c>
      <c r="E981" s="12">
        <v>5</v>
      </c>
      <c r="F981" s="154">
        <v>25</v>
      </c>
    </row>
    <row r="982" spans="2:6" x14ac:dyDescent="0.35">
      <c r="B982" s="153">
        <v>44078</v>
      </c>
      <c r="C982" t="s">
        <v>813</v>
      </c>
      <c r="D982" t="s">
        <v>11</v>
      </c>
      <c r="E982" s="12">
        <v>1</v>
      </c>
      <c r="F982" s="154">
        <v>54</v>
      </c>
    </row>
    <row r="983" spans="2:6" x14ac:dyDescent="0.35">
      <c r="B983" s="153">
        <v>44079</v>
      </c>
      <c r="C983" t="s">
        <v>812</v>
      </c>
      <c r="D983" t="s">
        <v>17</v>
      </c>
      <c r="E983" s="12">
        <v>2</v>
      </c>
      <c r="F983" s="154">
        <v>34</v>
      </c>
    </row>
    <row r="984" spans="2:6" x14ac:dyDescent="0.35">
      <c r="B984" s="153">
        <v>44080</v>
      </c>
      <c r="C984" t="s">
        <v>812</v>
      </c>
      <c r="D984" t="s">
        <v>16</v>
      </c>
      <c r="E984" s="12">
        <v>2</v>
      </c>
      <c r="F984" s="154">
        <v>49</v>
      </c>
    </row>
    <row r="985" spans="2:6" x14ac:dyDescent="0.35">
      <c r="B985" s="153">
        <v>44081</v>
      </c>
      <c r="C985" t="s">
        <v>812</v>
      </c>
      <c r="D985" t="s">
        <v>17</v>
      </c>
      <c r="E985" s="12">
        <v>2</v>
      </c>
      <c r="F985" s="154">
        <v>31</v>
      </c>
    </row>
    <row r="986" spans="2:6" x14ac:dyDescent="0.35">
      <c r="B986" s="153">
        <v>44082</v>
      </c>
      <c r="C986" t="s">
        <v>813</v>
      </c>
      <c r="D986" t="s">
        <v>12</v>
      </c>
      <c r="E986" s="12">
        <v>1</v>
      </c>
      <c r="F986" s="154">
        <v>15</v>
      </c>
    </row>
    <row r="987" spans="2:6" x14ac:dyDescent="0.35">
      <c r="B987" s="153">
        <v>44083</v>
      </c>
      <c r="C987" t="s">
        <v>813</v>
      </c>
      <c r="D987" t="s">
        <v>16</v>
      </c>
      <c r="E987" s="12">
        <v>5</v>
      </c>
      <c r="F987" s="154">
        <v>53</v>
      </c>
    </row>
    <row r="988" spans="2:6" x14ac:dyDescent="0.35">
      <c r="B988" s="153">
        <v>44084</v>
      </c>
      <c r="C988" t="s">
        <v>813</v>
      </c>
      <c r="D988" t="s">
        <v>9</v>
      </c>
      <c r="E988" s="12">
        <v>1</v>
      </c>
      <c r="F988" s="154">
        <v>58</v>
      </c>
    </row>
    <row r="989" spans="2:6" x14ac:dyDescent="0.35">
      <c r="B989" s="153">
        <v>44085</v>
      </c>
      <c r="C989" t="s">
        <v>813</v>
      </c>
      <c r="D989" t="s">
        <v>333</v>
      </c>
      <c r="E989" s="12">
        <v>3</v>
      </c>
      <c r="F989" s="154">
        <v>18</v>
      </c>
    </row>
    <row r="990" spans="2:6" x14ac:dyDescent="0.35">
      <c r="B990" s="153">
        <v>44086</v>
      </c>
      <c r="C990" t="s">
        <v>812</v>
      </c>
      <c r="D990" t="s">
        <v>12</v>
      </c>
      <c r="E990" s="12">
        <v>2</v>
      </c>
      <c r="F990" s="154">
        <v>59</v>
      </c>
    </row>
    <row r="991" spans="2:6" x14ac:dyDescent="0.35">
      <c r="B991" s="153">
        <v>44087</v>
      </c>
      <c r="C991" t="s">
        <v>812</v>
      </c>
      <c r="D991" t="s">
        <v>16</v>
      </c>
      <c r="E991" s="12">
        <v>1</v>
      </c>
      <c r="F991" s="154">
        <v>53</v>
      </c>
    </row>
    <row r="992" spans="2:6" x14ac:dyDescent="0.35">
      <c r="B992" s="153">
        <v>44088</v>
      </c>
      <c r="C992" t="s">
        <v>812</v>
      </c>
      <c r="D992" t="s">
        <v>16</v>
      </c>
      <c r="E992" s="12">
        <v>1</v>
      </c>
      <c r="F992" s="154">
        <v>17</v>
      </c>
    </row>
    <row r="993" spans="2:6" x14ac:dyDescent="0.35">
      <c r="B993" s="153">
        <v>44089</v>
      </c>
      <c r="C993" t="s">
        <v>813</v>
      </c>
      <c r="D993" t="s">
        <v>9</v>
      </c>
      <c r="E993" s="12">
        <v>2</v>
      </c>
      <c r="F993" s="154">
        <v>30</v>
      </c>
    </row>
    <row r="994" spans="2:6" x14ac:dyDescent="0.35">
      <c r="B994" s="153">
        <v>44090</v>
      </c>
      <c r="C994" t="s">
        <v>812</v>
      </c>
      <c r="D994" t="s">
        <v>15</v>
      </c>
      <c r="E994" s="12">
        <v>5</v>
      </c>
      <c r="F994" s="154">
        <v>43</v>
      </c>
    </row>
    <row r="995" spans="2:6" x14ac:dyDescent="0.35">
      <c r="B995" s="153">
        <v>44091</v>
      </c>
      <c r="C995" t="s">
        <v>812</v>
      </c>
      <c r="D995" t="s">
        <v>13</v>
      </c>
      <c r="E995" s="12">
        <v>1</v>
      </c>
      <c r="F995" s="154">
        <v>33</v>
      </c>
    </row>
    <row r="996" spans="2:6" x14ac:dyDescent="0.35">
      <c r="B996" s="153">
        <v>44092</v>
      </c>
      <c r="C996" t="s">
        <v>813</v>
      </c>
      <c r="D996" t="s">
        <v>333</v>
      </c>
      <c r="E996" s="12">
        <v>3</v>
      </c>
      <c r="F996" s="154">
        <v>30</v>
      </c>
    </row>
    <row r="997" spans="2:6" x14ac:dyDescent="0.35">
      <c r="B997" s="153">
        <v>44093</v>
      </c>
      <c r="C997" t="s">
        <v>813</v>
      </c>
      <c r="D997" t="s">
        <v>14</v>
      </c>
      <c r="E997" s="12">
        <v>5</v>
      </c>
      <c r="F997" s="154">
        <v>68</v>
      </c>
    </row>
    <row r="998" spans="2:6" x14ac:dyDescent="0.35">
      <c r="B998" s="153">
        <v>44094</v>
      </c>
      <c r="C998" t="s">
        <v>813</v>
      </c>
      <c r="D998" t="s">
        <v>11</v>
      </c>
      <c r="E998" s="12">
        <v>3</v>
      </c>
      <c r="F998" s="154">
        <v>63</v>
      </c>
    </row>
    <row r="999" spans="2:6" x14ac:dyDescent="0.35">
      <c r="B999" s="153">
        <v>44095</v>
      </c>
      <c r="C999" t="s">
        <v>812</v>
      </c>
      <c r="D999" t="s">
        <v>9</v>
      </c>
      <c r="E999" s="12">
        <v>2</v>
      </c>
      <c r="F999" s="154">
        <v>65</v>
      </c>
    </row>
    <row r="1000" spans="2:6" x14ac:dyDescent="0.35">
      <c r="B1000" s="153">
        <v>44096</v>
      </c>
      <c r="C1000" t="s">
        <v>813</v>
      </c>
      <c r="D1000" t="s">
        <v>10</v>
      </c>
      <c r="E1000" s="12">
        <v>3</v>
      </c>
      <c r="F1000" s="154">
        <v>41</v>
      </c>
    </row>
    <row r="1001" spans="2:6" x14ac:dyDescent="0.35">
      <c r="B1001" s="153">
        <v>44097</v>
      </c>
      <c r="C1001" t="s">
        <v>813</v>
      </c>
      <c r="D1001" t="s">
        <v>11</v>
      </c>
      <c r="E1001" s="12">
        <v>1</v>
      </c>
      <c r="F1001" s="154">
        <v>68</v>
      </c>
    </row>
    <row r="1002" spans="2:6" x14ac:dyDescent="0.35">
      <c r="B1002" s="153">
        <v>44098</v>
      </c>
      <c r="C1002" t="s">
        <v>813</v>
      </c>
      <c r="D1002" t="s">
        <v>15</v>
      </c>
      <c r="E1002" s="12">
        <v>3</v>
      </c>
      <c r="F1002" s="154">
        <v>23</v>
      </c>
    </row>
    <row r="1003" spans="2:6" x14ac:dyDescent="0.35">
      <c r="B1003" s="153">
        <v>44099</v>
      </c>
      <c r="C1003" t="s">
        <v>813</v>
      </c>
      <c r="D1003" t="s">
        <v>16</v>
      </c>
      <c r="E1003" s="12">
        <v>1</v>
      </c>
      <c r="F1003" s="154">
        <v>60</v>
      </c>
    </row>
    <row r="1004" spans="2:6" x14ac:dyDescent="0.35">
      <c r="B1004" s="153">
        <v>44100</v>
      </c>
      <c r="C1004" t="s">
        <v>813</v>
      </c>
      <c r="D1004" t="s">
        <v>9</v>
      </c>
      <c r="E1004" s="12">
        <v>3</v>
      </c>
      <c r="F1004" s="154">
        <v>33</v>
      </c>
    </row>
    <row r="1005" spans="2:6" x14ac:dyDescent="0.35">
      <c r="B1005" s="153">
        <v>44101</v>
      </c>
      <c r="C1005" t="s">
        <v>813</v>
      </c>
      <c r="D1005" t="s">
        <v>15</v>
      </c>
      <c r="E1005" s="12">
        <v>1</v>
      </c>
      <c r="F1005" s="154">
        <v>50</v>
      </c>
    </row>
    <row r="1006" spans="2:6" x14ac:dyDescent="0.35">
      <c r="B1006" s="153">
        <v>44102</v>
      </c>
      <c r="C1006" t="s">
        <v>813</v>
      </c>
      <c r="D1006" t="s">
        <v>11</v>
      </c>
      <c r="E1006" s="12">
        <v>5</v>
      </c>
      <c r="F1006" s="154">
        <v>51</v>
      </c>
    </row>
    <row r="1007" spans="2:6" x14ac:dyDescent="0.35">
      <c r="B1007" s="153">
        <v>44103</v>
      </c>
      <c r="C1007" t="s">
        <v>812</v>
      </c>
      <c r="D1007" t="s">
        <v>11</v>
      </c>
      <c r="E1007" s="12">
        <v>1</v>
      </c>
      <c r="F1007" s="154">
        <v>69</v>
      </c>
    </row>
    <row r="1008" spans="2:6" x14ac:dyDescent="0.35">
      <c r="B1008" s="153">
        <v>44104</v>
      </c>
      <c r="C1008" t="s">
        <v>813</v>
      </c>
      <c r="D1008" t="s">
        <v>10</v>
      </c>
      <c r="E1008" s="12">
        <v>4</v>
      </c>
      <c r="F1008" s="154">
        <v>42</v>
      </c>
    </row>
    <row r="1009" spans="2:6" x14ac:dyDescent="0.35">
      <c r="B1009" s="153">
        <v>44105</v>
      </c>
      <c r="C1009" t="s">
        <v>813</v>
      </c>
      <c r="D1009" t="s">
        <v>15</v>
      </c>
      <c r="E1009" s="12">
        <v>2</v>
      </c>
      <c r="F1009" s="154">
        <v>23</v>
      </c>
    </row>
    <row r="1010" spans="2:6" x14ac:dyDescent="0.35">
      <c r="B1010" s="153">
        <v>44106</v>
      </c>
      <c r="C1010" t="s">
        <v>813</v>
      </c>
      <c r="D1010" t="s">
        <v>9</v>
      </c>
      <c r="E1010" s="12">
        <v>4</v>
      </c>
      <c r="F1010" s="154">
        <v>20</v>
      </c>
    </row>
    <row r="1011" spans="2:6" x14ac:dyDescent="0.35">
      <c r="B1011" s="153">
        <v>44107</v>
      </c>
      <c r="C1011" t="s">
        <v>812</v>
      </c>
      <c r="D1011" t="s">
        <v>16</v>
      </c>
      <c r="E1011" s="12">
        <v>5</v>
      </c>
      <c r="F1011" s="154">
        <v>22</v>
      </c>
    </row>
    <row r="1012" spans="2:6" x14ac:dyDescent="0.35">
      <c r="B1012" s="153">
        <v>44108</v>
      </c>
      <c r="C1012" t="s">
        <v>813</v>
      </c>
      <c r="D1012" t="s">
        <v>9</v>
      </c>
      <c r="E1012" s="12">
        <v>1</v>
      </c>
      <c r="F1012" s="154">
        <v>40</v>
      </c>
    </row>
    <row r="1013" spans="2:6" x14ac:dyDescent="0.35">
      <c r="B1013" s="153">
        <v>44109</v>
      </c>
      <c r="C1013" t="s">
        <v>813</v>
      </c>
      <c r="D1013" t="s">
        <v>16</v>
      </c>
      <c r="E1013" s="12">
        <v>2</v>
      </c>
      <c r="F1013" s="154">
        <v>33</v>
      </c>
    </row>
    <row r="1014" spans="2:6" x14ac:dyDescent="0.35">
      <c r="B1014" s="153">
        <v>44110</v>
      </c>
      <c r="C1014" t="s">
        <v>813</v>
      </c>
      <c r="D1014" t="s">
        <v>15</v>
      </c>
      <c r="E1014" s="12">
        <v>3</v>
      </c>
      <c r="F1014" s="154">
        <v>53</v>
      </c>
    </row>
    <row r="1015" spans="2:6" x14ac:dyDescent="0.35">
      <c r="B1015" s="153">
        <v>44111</v>
      </c>
      <c r="C1015" t="s">
        <v>812</v>
      </c>
      <c r="D1015" t="s">
        <v>12</v>
      </c>
      <c r="E1015" s="12">
        <v>5</v>
      </c>
      <c r="F1015" s="154">
        <v>23</v>
      </c>
    </row>
    <row r="1016" spans="2:6" x14ac:dyDescent="0.35">
      <c r="B1016" s="153">
        <v>44112</v>
      </c>
      <c r="C1016" t="s">
        <v>813</v>
      </c>
      <c r="D1016" t="s">
        <v>12</v>
      </c>
      <c r="E1016" s="12">
        <v>2</v>
      </c>
      <c r="F1016" s="154">
        <v>15</v>
      </c>
    </row>
    <row r="1017" spans="2:6" x14ac:dyDescent="0.35">
      <c r="B1017" s="153">
        <v>44113</v>
      </c>
      <c r="C1017" t="s">
        <v>812</v>
      </c>
      <c r="D1017" t="s">
        <v>17</v>
      </c>
      <c r="E1017" s="12">
        <v>5</v>
      </c>
      <c r="F1017" s="154">
        <v>20</v>
      </c>
    </row>
    <row r="1018" spans="2:6" x14ac:dyDescent="0.35">
      <c r="B1018" s="153">
        <v>44114</v>
      </c>
      <c r="C1018" t="s">
        <v>812</v>
      </c>
      <c r="D1018" t="s">
        <v>16</v>
      </c>
      <c r="E1018" s="12">
        <v>3</v>
      </c>
      <c r="F1018" s="154">
        <v>50</v>
      </c>
    </row>
    <row r="1019" spans="2:6" x14ac:dyDescent="0.35">
      <c r="B1019" s="153">
        <v>44115</v>
      </c>
      <c r="C1019" t="s">
        <v>813</v>
      </c>
      <c r="D1019" t="s">
        <v>11</v>
      </c>
      <c r="E1019" s="12">
        <v>5</v>
      </c>
      <c r="F1019" s="154">
        <v>47</v>
      </c>
    </row>
    <row r="1020" spans="2:6" x14ac:dyDescent="0.35">
      <c r="B1020" s="153">
        <v>44116</v>
      </c>
      <c r="C1020" t="s">
        <v>812</v>
      </c>
      <c r="D1020" t="s">
        <v>10</v>
      </c>
      <c r="E1020" s="12">
        <v>2</v>
      </c>
      <c r="F1020" s="154">
        <v>34</v>
      </c>
    </row>
    <row r="1021" spans="2:6" x14ac:dyDescent="0.35">
      <c r="B1021" s="153">
        <v>44117</v>
      </c>
      <c r="C1021" t="s">
        <v>812</v>
      </c>
      <c r="D1021" t="s">
        <v>10</v>
      </c>
      <c r="E1021" s="12">
        <v>2</v>
      </c>
      <c r="F1021" s="154">
        <v>27</v>
      </c>
    </row>
    <row r="1022" spans="2:6" x14ac:dyDescent="0.35">
      <c r="B1022" s="153">
        <v>44118</v>
      </c>
      <c r="C1022" t="s">
        <v>813</v>
      </c>
      <c r="D1022" t="s">
        <v>9</v>
      </c>
      <c r="E1022" s="12">
        <v>1</v>
      </c>
      <c r="F1022" s="154">
        <v>67</v>
      </c>
    </row>
    <row r="1023" spans="2:6" x14ac:dyDescent="0.35">
      <c r="B1023" s="153">
        <v>44119</v>
      </c>
      <c r="C1023" t="s">
        <v>812</v>
      </c>
      <c r="D1023" t="s">
        <v>333</v>
      </c>
      <c r="E1023" s="12">
        <v>2</v>
      </c>
      <c r="F1023" s="154">
        <v>31</v>
      </c>
    </row>
    <row r="1024" spans="2:6" x14ac:dyDescent="0.35">
      <c r="B1024" s="153">
        <v>44120</v>
      </c>
      <c r="C1024" t="s">
        <v>812</v>
      </c>
      <c r="D1024" t="s">
        <v>13</v>
      </c>
      <c r="E1024" s="12">
        <v>2</v>
      </c>
      <c r="F1024" s="154">
        <v>44</v>
      </c>
    </row>
    <row r="1025" spans="2:6" x14ac:dyDescent="0.35">
      <c r="B1025" s="153">
        <v>44121</v>
      </c>
      <c r="C1025" t="s">
        <v>812</v>
      </c>
      <c r="D1025" t="s">
        <v>15</v>
      </c>
      <c r="E1025" s="12">
        <v>1</v>
      </c>
      <c r="F1025" s="154">
        <v>64</v>
      </c>
    </row>
    <row r="1026" spans="2:6" x14ac:dyDescent="0.35">
      <c r="B1026" s="153">
        <v>44122</v>
      </c>
      <c r="C1026" t="s">
        <v>813</v>
      </c>
      <c r="D1026" t="s">
        <v>11</v>
      </c>
      <c r="E1026" s="12">
        <v>5</v>
      </c>
      <c r="F1026" s="154">
        <v>35</v>
      </c>
    </row>
    <row r="1027" spans="2:6" x14ac:dyDescent="0.35">
      <c r="B1027" s="153">
        <v>44123</v>
      </c>
      <c r="C1027" t="s">
        <v>813</v>
      </c>
      <c r="D1027" t="s">
        <v>16</v>
      </c>
      <c r="E1027" s="12">
        <v>3</v>
      </c>
      <c r="F1027" s="154">
        <v>49</v>
      </c>
    </row>
    <row r="1028" spans="2:6" x14ac:dyDescent="0.35">
      <c r="B1028" s="153">
        <v>44124</v>
      </c>
      <c r="C1028" t="s">
        <v>812</v>
      </c>
      <c r="D1028" t="s">
        <v>15</v>
      </c>
      <c r="E1028" s="12">
        <v>1</v>
      </c>
      <c r="F1028" s="154">
        <v>33</v>
      </c>
    </row>
    <row r="1029" spans="2:6" x14ac:dyDescent="0.35">
      <c r="B1029" s="153">
        <v>44125</v>
      </c>
      <c r="C1029" t="s">
        <v>812</v>
      </c>
      <c r="D1029" t="s">
        <v>333</v>
      </c>
      <c r="E1029" s="12">
        <v>2</v>
      </c>
      <c r="F1029" s="154">
        <v>42</v>
      </c>
    </row>
    <row r="1030" spans="2:6" x14ac:dyDescent="0.35">
      <c r="B1030" s="153">
        <v>44126</v>
      </c>
      <c r="C1030" t="s">
        <v>813</v>
      </c>
      <c r="D1030" t="s">
        <v>17</v>
      </c>
      <c r="E1030" s="12">
        <v>3</v>
      </c>
      <c r="F1030" s="154">
        <v>53</v>
      </c>
    </row>
    <row r="1031" spans="2:6" x14ac:dyDescent="0.35">
      <c r="B1031" s="153">
        <v>44127</v>
      </c>
      <c r="C1031" t="s">
        <v>813</v>
      </c>
      <c r="D1031" t="s">
        <v>16</v>
      </c>
      <c r="E1031" s="12">
        <v>2</v>
      </c>
      <c r="F1031" s="154">
        <v>59</v>
      </c>
    </row>
    <row r="1032" spans="2:6" x14ac:dyDescent="0.35">
      <c r="B1032" s="153">
        <v>44128</v>
      </c>
      <c r="C1032" t="s">
        <v>812</v>
      </c>
      <c r="D1032" t="s">
        <v>333</v>
      </c>
      <c r="E1032" s="12">
        <v>1</v>
      </c>
      <c r="F1032" s="154">
        <v>33</v>
      </c>
    </row>
    <row r="1033" spans="2:6" x14ac:dyDescent="0.35">
      <c r="B1033" s="153">
        <v>44129</v>
      </c>
      <c r="C1033" t="s">
        <v>812</v>
      </c>
      <c r="D1033" t="s">
        <v>13</v>
      </c>
      <c r="E1033" s="12">
        <v>2</v>
      </c>
      <c r="F1033" s="154">
        <v>63</v>
      </c>
    </row>
    <row r="1034" spans="2:6" x14ac:dyDescent="0.35">
      <c r="B1034" s="153">
        <v>44130</v>
      </c>
      <c r="C1034" t="s">
        <v>813</v>
      </c>
      <c r="D1034" t="s">
        <v>16</v>
      </c>
      <c r="E1034" s="12">
        <v>2</v>
      </c>
      <c r="F1034" s="154">
        <v>21</v>
      </c>
    </row>
    <row r="1035" spans="2:6" x14ac:dyDescent="0.35">
      <c r="B1035" s="153">
        <v>44131</v>
      </c>
      <c r="C1035" t="s">
        <v>812</v>
      </c>
      <c r="D1035" t="s">
        <v>333</v>
      </c>
      <c r="E1035" s="12">
        <v>1</v>
      </c>
      <c r="F1035" s="154">
        <v>61</v>
      </c>
    </row>
    <row r="1036" spans="2:6" x14ac:dyDescent="0.35">
      <c r="B1036" s="153">
        <v>44132</v>
      </c>
      <c r="C1036" t="s">
        <v>812</v>
      </c>
      <c r="D1036" t="s">
        <v>333</v>
      </c>
      <c r="E1036" s="12">
        <v>3</v>
      </c>
      <c r="F1036" s="154">
        <v>61</v>
      </c>
    </row>
    <row r="1037" spans="2:6" x14ac:dyDescent="0.35">
      <c r="B1037" s="153">
        <v>44133</v>
      </c>
      <c r="C1037" t="s">
        <v>813</v>
      </c>
      <c r="D1037" t="s">
        <v>16</v>
      </c>
      <c r="E1037" s="12">
        <v>5</v>
      </c>
      <c r="F1037" s="154">
        <v>45</v>
      </c>
    </row>
    <row r="1038" spans="2:6" x14ac:dyDescent="0.35">
      <c r="B1038" s="153">
        <v>44134</v>
      </c>
      <c r="C1038" t="s">
        <v>812</v>
      </c>
      <c r="D1038" t="s">
        <v>9</v>
      </c>
      <c r="E1038" s="12">
        <v>1</v>
      </c>
      <c r="F1038" s="154">
        <v>50</v>
      </c>
    </row>
    <row r="1039" spans="2:6" x14ac:dyDescent="0.35">
      <c r="B1039" s="153">
        <v>44135</v>
      </c>
      <c r="C1039" t="s">
        <v>812</v>
      </c>
      <c r="D1039" t="s">
        <v>15</v>
      </c>
      <c r="E1039" s="12">
        <v>1</v>
      </c>
      <c r="F1039" s="154">
        <v>49</v>
      </c>
    </row>
    <row r="1040" spans="2:6" x14ac:dyDescent="0.35">
      <c r="B1040" s="153">
        <v>44136</v>
      </c>
      <c r="C1040" t="s">
        <v>812</v>
      </c>
      <c r="D1040" t="s">
        <v>14</v>
      </c>
      <c r="E1040" s="12">
        <v>5</v>
      </c>
      <c r="F1040" s="154">
        <v>27</v>
      </c>
    </row>
    <row r="1041" spans="2:6" x14ac:dyDescent="0.35">
      <c r="B1041" s="153">
        <v>44137</v>
      </c>
      <c r="C1041" t="s">
        <v>812</v>
      </c>
      <c r="D1041" t="s">
        <v>13</v>
      </c>
      <c r="E1041" s="12">
        <v>3</v>
      </c>
      <c r="F1041" s="154">
        <v>39</v>
      </c>
    </row>
    <row r="1042" spans="2:6" x14ac:dyDescent="0.35">
      <c r="B1042" s="153">
        <v>44138</v>
      </c>
      <c r="C1042" t="s">
        <v>812</v>
      </c>
      <c r="D1042" t="s">
        <v>13</v>
      </c>
      <c r="E1042" s="12">
        <v>2</v>
      </c>
      <c r="F1042" s="154">
        <v>43</v>
      </c>
    </row>
    <row r="1043" spans="2:6" x14ac:dyDescent="0.35">
      <c r="B1043" s="153">
        <v>44139</v>
      </c>
      <c r="C1043" t="s">
        <v>813</v>
      </c>
      <c r="D1043" t="s">
        <v>17</v>
      </c>
      <c r="E1043" s="12">
        <v>3</v>
      </c>
      <c r="F1043" s="154">
        <v>56</v>
      </c>
    </row>
    <row r="1044" spans="2:6" x14ac:dyDescent="0.35">
      <c r="B1044" s="153">
        <v>44140</v>
      </c>
      <c r="C1044" t="s">
        <v>812</v>
      </c>
      <c r="D1044" t="s">
        <v>10</v>
      </c>
      <c r="E1044" s="12">
        <v>5</v>
      </c>
      <c r="F1044" s="154">
        <v>36</v>
      </c>
    </row>
    <row r="1045" spans="2:6" x14ac:dyDescent="0.35">
      <c r="B1045" s="153">
        <v>44141</v>
      </c>
      <c r="C1045" t="s">
        <v>812</v>
      </c>
      <c r="D1045" t="s">
        <v>333</v>
      </c>
      <c r="E1045" s="12">
        <v>4</v>
      </c>
      <c r="F1045" s="154">
        <v>50</v>
      </c>
    </row>
    <row r="1046" spans="2:6" x14ac:dyDescent="0.35">
      <c r="B1046" s="153">
        <v>44142</v>
      </c>
      <c r="C1046" t="s">
        <v>813</v>
      </c>
      <c r="D1046" t="s">
        <v>11</v>
      </c>
      <c r="E1046" s="12">
        <v>1</v>
      </c>
      <c r="F1046" s="154">
        <v>57</v>
      </c>
    </row>
    <row r="1047" spans="2:6" x14ac:dyDescent="0.35">
      <c r="B1047" s="153">
        <v>44143</v>
      </c>
      <c r="C1047" t="s">
        <v>813</v>
      </c>
      <c r="D1047" t="s">
        <v>9</v>
      </c>
      <c r="E1047" s="12">
        <v>1</v>
      </c>
      <c r="F1047" s="154">
        <v>68</v>
      </c>
    </row>
    <row r="1048" spans="2:6" x14ac:dyDescent="0.35">
      <c r="B1048" s="153">
        <v>44144</v>
      </c>
      <c r="C1048" t="s">
        <v>812</v>
      </c>
      <c r="D1048" t="s">
        <v>13</v>
      </c>
      <c r="E1048" s="12">
        <v>5</v>
      </c>
      <c r="F1048" s="154">
        <v>28</v>
      </c>
    </row>
    <row r="1049" spans="2:6" x14ac:dyDescent="0.35">
      <c r="B1049" s="153">
        <v>44145</v>
      </c>
      <c r="C1049" t="s">
        <v>813</v>
      </c>
      <c r="D1049" t="s">
        <v>12</v>
      </c>
      <c r="E1049" s="12">
        <v>4</v>
      </c>
      <c r="F1049" s="154">
        <v>67</v>
      </c>
    </row>
    <row r="1050" spans="2:6" x14ac:dyDescent="0.35">
      <c r="B1050" s="153">
        <v>44146</v>
      </c>
      <c r="C1050" t="s">
        <v>813</v>
      </c>
      <c r="D1050" t="s">
        <v>13</v>
      </c>
      <c r="E1050" s="12">
        <v>2</v>
      </c>
      <c r="F1050" s="154">
        <v>61</v>
      </c>
    </row>
    <row r="1051" spans="2:6" x14ac:dyDescent="0.35">
      <c r="B1051" s="153">
        <v>44147</v>
      </c>
      <c r="C1051" t="s">
        <v>813</v>
      </c>
      <c r="D1051" t="s">
        <v>10</v>
      </c>
      <c r="E1051" s="12">
        <v>5</v>
      </c>
      <c r="F1051" s="154">
        <v>51</v>
      </c>
    </row>
    <row r="1052" spans="2:6" x14ac:dyDescent="0.35">
      <c r="B1052" s="153">
        <v>44148</v>
      </c>
      <c r="C1052" t="s">
        <v>812</v>
      </c>
      <c r="D1052" t="s">
        <v>17</v>
      </c>
      <c r="E1052" s="12">
        <v>5</v>
      </c>
      <c r="F1052" s="154">
        <v>20</v>
      </c>
    </row>
    <row r="1053" spans="2:6" x14ac:dyDescent="0.35">
      <c r="B1053" s="153">
        <v>44149</v>
      </c>
      <c r="C1053" t="s">
        <v>813</v>
      </c>
      <c r="D1053" t="s">
        <v>9</v>
      </c>
      <c r="E1053" s="12">
        <v>2</v>
      </c>
      <c r="F1053" s="154">
        <v>41</v>
      </c>
    </row>
    <row r="1054" spans="2:6" x14ac:dyDescent="0.35">
      <c r="B1054" s="153">
        <v>44150</v>
      </c>
      <c r="C1054" t="s">
        <v>812</v>
      </c>
      <c r="D1054" t="s">
        <v>11</v>
      </c>
      <c r="E1054" s="12">
        <v>5</v>
      </c>
      <c r="F1054" s="154">
        <v>62</v>
      </c>
    </row>
    <row r="1055" spans="2:6" x14ac:dyDescent="0.35">
      <c r="B1055" s="153">
        <v>44151</v>
      </c>
      <c r="C1055" t="s">
        <v>812</v>
      </c>
      <c r="D1055" t="s">
        <v>15</v>
      </c>
      <c r="E1055" s="12">
        <v>5</v>
      </c>
      <c r="F1055" s="154">
        <v>15</v>
      </c>
    </row>
    <row r="1056" spans="2:6" x14ac:dyDescent="0.35">
      <c r="B1056" s="153">
        <v>44152</v>
      </c>
      <c r="C1056" t="s">
        <v>812</v>
      </c>
      <c r="D1056" t="s">
        <v>16</v>
      </c>
      <c r="E1056" s="12">
        <v>1</v>
      </c>
      <c r="F1056" s="154">
        <v>17</v>
      </c>
    </row>
    <row r="1057" spans="2:6" x14ac:dyDescent="0.35">
      <c r="B1057" s="153">
        <v>44153</v>
      </c>
      <c r="C1057" t="s">
        <v>812</v>
      </c>
      <c r="D1057" t="s">
        <v>14</v>
      </c>
      <c r="E1057" s="12">
        <v>3</v>
      </c>
      <c r="F1057" s="154">
        <v>52</v>
      </c>
    </row>
    <row r="1058" spans="2:6" x14ac:dyDescent="0.35">
      <c r="B1058" s="153">
        <v>44154</v>
      </c>
      <c r="C1058" t="s">
        <v>813</v>
      </c>
      <c r="D1058" t="s">
        <v>16</v>
      </c>
      <c r="E1058" s="12">
        <v>3</v>
      </c>
      <c r="F1058" s="154">
        <v>25</v>
      </c>
    </row>
    <row r="1059" spans="2:6" x14ac:dyDescent="0.35">
      <c r="B1059" s="153">
        <v>44155</v>
      </c>
      <c r="C1059" t="s">
        <v>813</v>
      </c>
      <c r="D1059" t="s">
        <v>11</v>
      </c>
      <c r="E1059" s="12">
        <v>3</v>
      </c>
      <c r="F1059" s="154">
        <v>52</v>
      </c>
    </row>
    <row r="1060" spans="2:6" x14ac:dyDescent="0.35">
      <c r="B1060" s="153">
        <v>44156</v>
      </c>
      <c r="C1060" t="s">
        <v>813</v>
      </c>
      <c r="D1060" t="s">
        <v>16</v>
      </c>
      <c r="E1060" s="12">
        <v>3</v>
      </c>
      <c r="F1060" s="154">
        <v>38</v>
      </c>
    </row>
    <row r="1061" spans="2:6" x14ac:dyDescent="0.35">
      <c r="B1061" s="153">
        <v>44157</v>
      </c>
      <c r="C1061" t="s">
        <v>812</v>
      </c>
      <c r="D1061" t="s">
        <v>11</v>
      </c>
      <c r="E1061" s="12">
        <v>3</v>
      </c>
      <c r="F1061" s="154">
        <v>51</v>
      </c>
    </row>
    <row r="1062" spans="2:6" x14ac:dyDescent="0.35">
      <c r="B1062" s="153">
        <v>44158</v>
      </c>
      <c r="C1062" t="s">
        <v>813</v>
      </c>
      <c r="D1062" t="s">
        <v>12</v>
      </c>
      <c r="E1062" s="12">
        <v>4</v>
      </c>
      <c r="F1062" s="154">
        <v>65</v>
      </c>
    </row>
    <row r="1063" spans="2:6" x14ac:dyDescent="0.35">
      <c r="B1063" s="153">
        <v>44159</v>
      </c>
      <c r="C1063" t="s">
        <v>812</v>
      </c>
      <c r="D1063" t="s">
        <v>10</v>
      </c>
      <c r="E1063" s="12">
        <v>2</v>
      </c>
      <c r="F1063" s="154">
        <v>34</v>
      </c>
    </row>
    <row r="1064" spans="2:6" x14ac:dyDescent="0.35">
      <c r="B1064" s="153">
        <v>44160</v>
      </c>
      <c r="C1064" t="s">
        <v>812</v>
      </c>
      <c r="D1064" t="s">
        <v>12</v>
      </c>
      <c r="E1064" s="12">
        <v>3</v>
      </c>
      <c r="F1064" s="154">
        <v>44</v>
      </c>
    </row>
    <row r="1065" spans="2:6" x14ac:dyDescent="0.35">
      <c r="B1065" s="153">
        <v>44161</v>
      </c>
      <c r="C1065" t="s">
        <v>813</v>
      </c>
      <c r="D1065" t="s">
        <v>10</v>
      </c>
      <c r="E1065" s="12">
        <v>1</v>
      </c>
      <c r="F1065" s="154">
        <v>21</v>
      </c>
    </row>
    <row r="1066" spans="2:6" x14ac:dyDescent="0.35">
      <c r="B1066" s="153">
        <v>44162</v>
      </c>
      <c r="C1066" t="s">
        <v>813</v>
      </c>
      <c r="D1066" t="s">
        <v>333</v>
      </c>
      <c r="E1066" s="12">
        <v>5</v>
      </c>
      <c r="F1066" s="154">
        <v>61</v>
      </c>
    </row>
    <row r="1067" spans="2:6" x14ac:dyDescent="0.35">
      <c r="B1067" s="153">
        <v>44163</v>
      </c>
      <c r="C1067" t="s">
        <v>812</v>
      </c>
      <c r="D1067" t="s">
        <v>333</v>
      </c>
      <c r="E1067" s="12">
        <v>5</v>
      </c>
      <c r="F1067" s="154">
        <v>32</v>
      </c>
    </row>
    <row r="1068" spans="2:6" x14ac:dyDescent="0.35">
      <c r="B1068" s="153">
        <v>44164</v>
      </c>
      <c r="C1068" t="s">
        <v>813</v>
      </c>
      <c r="D1068" t="s">
        <v>11</v>
      </c>
      <c r="E1068" s="12">
        <v>2</v>
      </c>
      <c r="F1068" s="154">
        <v>67</v>
      </c>
    </row>
    <row r="1069" spans="2:6" x14ac:dyDescent="0.35">
      <c r="B1069" s="153">
        <v>44165</v>
      </c>
      <c r="C1069" t="s">
        <v>813</v>
      </c>
      <c r="D1069" t="s">
        <v>17</v>
      </c>
      <c r="E1069" s="12">
        <v>2</v>
      </c>
      <c r="F1069" s="154">
        <v>33</v>
      </c>
    </row>
    <row r="1070" spans="2:6" x14ac:dyDescent="0.35">
      <c r="B1070" s="153">
        <v>44166</v>
      </c>
      <c r="C1070" t="s">
        <v>812</v>
      </c>
      <c r="D1070" t="s">
        <v>16</v>
      </c>
      <c r="E1070" s="12">
        <v>3</v>
      </c>
      <c r="F1070" s="154">
        <v>42</v>
      </c>
    </row>
    <row r="1071" spans="2:6" x14ac:dyDescent="0.35">
      <c r="B1071" s="153">
        <v>44167</v>
      </c>
      <c r="C1071" t="s">
        <v>813</v>
      </c>
      <c r="D1071" t="s">
        <v>12</v>
      </c>
      <c r="E1071" s="12">
        <v>4</v>
      </c>
      <c r="F1071" s="154">
        <v>28</v>
      </c>
    </row>
    <row r="1072" spans="2:6" x14ac:dyDescent="0.35">
      <c r="B1072" s="153">
        <v>44168</v>
      </c>
      <c r="C1072" t="s">
        <v>812</v>
      </c>
      <c r="D1072" t="s">
        <v>9</v>
      </c>
      <c r="E1072" s="12">
        <v>3</v>
      </c>
      <c r="F1072" s="154">
        <v>51</v>
      </c>
    </row>
    <row r="1073" spans="2:6" x14ac:dyDescent="0.35">
      <c r="B1073" s="153">
        <v>44169</v>
      </c>
      <c r="C1073" t="s">
        <v>813</v>
      </c>
      <c r="D1073" t="s">
        <v>17</v>
      </c>
      <c r="E1073" s="12">
        <v>3</v>
      </c>
      <c r="F1073" s="154">
        <v>26</v>
      </c>
    </row>
    <row r="1074" spans="2:6" x14ac:dyDescent="0.35">
      <c r="B1074" s="153">
        <v>44170</v>
      </c>
      <c r="C1074" t="s">
        <v>813</v>
      </c>
      <c r="D1074" t="s">
        <v>9</v>
      </c>
      <c r="E1074" s="12">
        <v>2</v>
      </c>
      <c r="F1074" s="154">
        <v>42</v>
      </c>
    </row>
    <row r="1075" spans="2:6" x14ac:dyDescent="0.35">
      <c r="B1075" s="153">
        <v>44171</v>
      </c>
      <c r="C1075" t="s">
        <v>812</v>
      </c>
      <c r="D1075" t="s">
        <v>15</v>
      </c>
      <c r="E1075" s="12">
        <v>5</v>
      </c>
      <c r="F1075" s="154">
        <v>21</v>
      </c>
    </row>
    <row r="1076" spans="2:6" x14ac:dyDescent="0.35">
      <c r="B1076" s="153">
        <v>44172</v>
      </c>
      <c r="C1076" t="s">
        <v>813</v>
      </c>
      <c r="D1076" t="s">
        <v>9</v>
      </c>
      <c r="E1076" s="12">
        <v>5</v>
      </c>
      <c r="F1076" s="154">
        <v>53</v>
      </c>
    </row>
    <row r="1077" spans="2:6" x14ac:dyDescent="0.35">
      <c r="B1077" s="153">
        <v>44173</v>
      </c>
      <c r="C1077" t="s">
        <v>813</v>
      </c>
      <c r="D1077" t="s">
        <v>17</v>
      </c>
      <c r="E1077" s="12">
        <v>1</v>
      </c>
      <c r="F1077" s="154">
        <v>20</v>
      </c>
    </row>
    <row r="1078" spans="2:6" x14ac:dyDescent="0.35">
      <c r="B1078" s="153">
        <v>44174</v>
      </c>
      <c r="C1078" t="s">
        <v>812</v>
      </c>
      <c r="D1078" t="s">
        <v>333</v>
      </c>
      <c r="E1078" s="12">
        <v>4</v>
      </c>
      <c r="F1078" s="154">
        <v>55</v>
      </c>
    </row>
    <row r="1079" spans="2:6" x14ac:dyDescent="0.35">
      <c r="B1079" s="153">
        <v>44175</v>
      </c>
      <c r="C1079" t="s">
        <v>813</v>
      </c>
      <c r="D1079" t="s">
        <v>16</v>
      </c>
      <c r="E1079" s="12">
        <v>5</v>
      </c>
      <c r="F1079" s="154">
        <v>62</v>
      </c>
    </row>
    <row r="1080" spans="2:6" x14ac:dyDescent="0.35">
      <c r="B1080" s="153">
        <v>44176</v>
      </c>
      <c r="C1080" t="s">
        <v>812</v>
      </c>
      <c r="D1080" t="s">
        <v>11</v>
      </c>
      <c r="E1080" s="12">
        <v>4</v>
      </c>
      <c r="F1080" s="154">
        <v>49</v>
      </c>
    </row>
    <row r="1081" spans="2:6" x14ac:dyDescent="0.35">
      <c r="B1081" s="153">
        <v>44177</v>
      </c>
      <c r="C1081" t="s">
        <v>813</v>
      </c>
      <c r="D1081" t="s">
        <v>11</v>
      </c>
      <c r="E1081" s="12">
        <v>3</v>
      </c>
      <c r="F1081" s="154">
        <v>63</v>
      </c>
    </row>
    <row r="1082" spans="2:6" x14ac:dyDescent="0.35">
      <c r="B1082" s="153">
        <v>44178</v>
      </c>
      <c r="C1082" t="s">
        <v>813</v>
      </c>
      <c r="D1082" t="s">
        <v>14</v>
      </c>
      <c r="E1082" s="12">
        <v>2</v>
      </c>
      <c r="F1082" s="154">
        <v>52</v>
      </c>
    </row>
    <row r="1083" spans="2:6" x14ac:dyDescent="0.35">
      <c r="B1083" s="153">
        <v>44179</v>
      </c>
      <c r="C1083" t="s">
        <v>812</v>
      </c>
      <c r="D1083" t="s">
        <v>13</v>
      </c>
      <c r="E1083" s="12">
        <v>2</v>
      </c>
      <c r="F1083" s="154">
        <v>50</v>
      </c>
    </row>
    <row r="1084" spans="2:6" x14ac:dyDescent="0.35">
      <c r="B1084" s="153">
        <v>44180</v>
      </c>
      <c r="C1084" t="s">
        <v>813</v>
      </c>
      <c r="D1084" t="s">
        <v>13</v>
      </c>
      <c r="E1084" s="12">
        <v>5</v>
      </c>
      <c r="F1084" s="154">
        <v>41</v>
      </c>
    </row>
    <row r="1085" spans="2:6" x14ac:dyDescent="0.35">
      <c r="B1085" s="153">
        <v>44181</v>
      </c>
      <c r="C1085" t="s">
        <v>812</v>
      </c>
      <c r="D1085" t="s">
        <v>9</v>
      </c>
      <c r="E1085" s="12">
        <v>1</v>
      </c>
      <c r="F1085" s="154">
        <v>31</v>
      </c>
    </row>
    <row r="1086" spans="2:6" x14ac:dyDescent="0.35">
      <c r="B1086" s="153">
        <v>44182</v>
      </c>
      <c r="C1086" t="s">
        <v>813</v>
      </c>
      <c r="D1086" t="s">
        <v>333</v>
      </c>
      <c r="E1086" s="12">
        <v>4</v>
      </c>
      <c r="F1086" s="154">
        <v>38</v>
      </c>
    </row>
    <row r="1087" spans="2:6" x14ac:dyDescent="0.35">
      <c r="B1087" s="153">
        <v>44183</v>
      </c>
      <c r="C1087" t="s">
        <v>812</v>
      </c>
      <c r="D1087" t="s">
        <v>333</v>
      </c>
      <c r="E1087" s="12">
        <v>4</v>
      </c>
      <c r="F1087" s="154">
        <v>28</v>
      </c>
    </row>
    <row r="1088" spans="2:6" x14ac:dyDescent="0.35">
      <c r="B1088" s="153">
        <v>44184</v>
      </c>
      <c r="C1088" t="s">
        <v>813</v>
      </c>
      <c r="D1088" t="s">
        <v>11</v>
      </c>
      <c r="E1088" s="12">
        <v>2</v>
      </c>
      <c r="F1088" s="154">
        <v>63</v>
      </c>
    </row>
    <row r="1089" spans="2:6" x14ac:dyDescent="0.35">
      <c r="B1089" s="153">
        <v>44185</v>
      </c>
      <c r="C1089" t="s">
        <v>813</v>
      </c>
      <c r="D1089" t="s">
        <v>11</v>
      </c>
      <c r="E1089" s="12">
        <v>4</v>
      </c>
      <c r="F1089" s="154">
        <v>49</v>
      </c>
    </row>
    <row r="1090" spans="2:6" x14ac:dyDescent="0.35">
      <c r="B1090" s="153">
        <v>44186</v>
      </c>
      <c r="C1090" t="s">
        <v>813</v>
      </c>
      <c r="D1090" t="s">
        <v>13</v>
      </c>
      <c r="E1090" s="12">
        <v>3</v>
      </c>
      <c r="F1090" s="154">
        <v>34</v>
      </c>
    </row>
    <row r="1091" spans="2:6" x14ac:dyDescent="0.35">
      <c r="B1091" s="153">
        <v>44187</v>
      </c>
      <c r="C1091" t="s">
        <v>812</v>
      </c>
      <c r="D1091" t="s">
        <v>14</v>
      </c>
      <c r="E1091" s="12">
        <v>1</v>
      </c>
      <c r="F1091" s="154">
        <v>68</v>
      </c>
    </row>
    <row r="1092" spans="2:6" x14ac:dyDescent="0.35">
      <c r="B1092" s="153">
        <v>44188</v>
      </c>
      <c r="C1092" t="s">
        <v>812</v>
      </c>
      <c r="D1092" t="s">
        <v>17</v>
      </c>
      <c r="E1092" s="12">
        <v>4</v>
      </c>
      <c r="F1092" s="154">
        <v>62</v>
      </c>
    </row>
    <row r="1093" spans="2:6" x14ac:dyDescent="0.35">
      <c r="B1093" s="153">
        <v>44189</v>
      </c>
      <c r="C1093" t="s">
        <v>812</v>
      </c>
      <c r="D1093" t="s">
        <v>333</v>
      </c>
      <c r="E1093" s="12">
        <v>4</v>
      </c>
      <c r="F1093" s="154">
        <v>68</v>
      </c>
    </row>
    <row r="1094" spans="2:6" x14ac:dyDescent="0.35">
      <c r="B1094" s="153">
        <v>44190</v>
      </c>
      <c r="C1094" t="s">
        <v>813</v>
      </c>
      <c r="D1094" t="s">
        <v>17</v>
      </c>
      <c r="E1094" s="12">
        <v>3</v>
      </c>
      <c r="F1094" s="154">
        <v>65</v>
      </c>
    </row>
    <row r="1095" spans="2:6" x14ac:dyDescent="0.35">
      <c r="B1095" s="153">
        <v>44191</v>
      </c>
      <c r="C1095" t="s">
        <v>813</v>
      </c>
      <c r="D1095" t="s">
        <v>10</v>
      </c>
      <c r="E1095" s="12">
        <v>4</v>
      </c>
      <c r="F1095" s="154">
        <v>37</v>
      </c>
    </row>
    <row r="1096" spans="2:6" x14ac:dyDescent="0.35">
      <c r="B1096" s="153">
        <v>44192</v>
      </c>
      <c r="C1096" t="s">
        <v>813</v>
      </c>
      <c r="D1096" t="s">
        <v>12</v>
      </c>
      <c r="E1096" s="12">
        <v>2</v>
      </c>
      <c r="F1096" s="154">
        <v>54</v>
      </c>
    </row>
    <row r="1097" spans="2:6" x14ac:dyDescent="0.35">
      <c r="B1097" s="153">
        <v>44193</v>
      </c>
      <c r="C1097" t="s">
        <v>813</v>
      </c>
      <c r="D1097" t="s">
        <v>16</v>
      </c>
      <c r="E1097" s="12">
        <v>2</v>
      </c>
      <c r="F1097" s="154">
        <v>33</v>
      </c>
    </row>
    <row r="1098" spans="2:6" x14ac:dyDescent="0.35">
      <c r="B1098" s="153">
        <v>44194</v>
      </c>
      <c r="C1098" t="s">
        <v>812</v>
      </c>
      <c r="D1098" t="s">
        <v>13</v>
      </c>
      <c r="E1098" s="12">
        <v>3</v>
      </c>
      <c r="F1098" s="154">
        <v>31</v>
      </c>
    </row>
    <row r="1099" spans="2:6" x14ac:dyDescent="0.35">
      <c r="B1099" s="153">
        <v>44195</v>
      </c>
      <c r="C1099" t="s">
        <v>813</v>
      </c>
      <c r="D1099" t="s">
        <v>333</v>
      </c>
      <c r="E1099" s="12">
        <v>1</v>
      </c>
      <c r="F1099" s="154">
        <v>32</v>
      </c>
    </row>
    <row r="1100" spans="2:6" x14ac:dyDescent="0.35">
      <c r="B1100" s="153">
        <v>44196</v>
      </c>
      <c r="C1100" t="s">
        <v>813</v>
      </c>
      <c r="D1100" t="s">
        <v>16</v>
      </c>
      <c r="E1100" s="12">
        <v>1</v>
      </c>
      <c r="F1100" s="154">
        <v>47</v>
      </c>
    </row>
    <row r="1101" spans="2:6" x14ac:dyDescent="0.35">
      <c r="B1101" s="153">
        <v>44197</v>
      </c>
      <c r="C1101" t="s">
        <v>812</v>
      </c>
      <c r="D1101" t="s">
        <v>9</v>
      </c>
      <c r="E1101" s="12">
        <v>2</v>
      </c>
      <c r="F1101" s="154">
        <v>53</v>
      </c>
    </row>
    <row r="1102" spans="2:6" x14ac:dyDescent="0.35">
      <c r="B1102" s="153">
        <v>44198</v>
      </c>
      <c r="C1102" t="s">
        <v>812</v>
      </c>
      <c r="D1102" t="s">
        <v>10</v>
      </c>
      <c r="E1102" s="12">
        <v>3</v>
      </c>
      <c r="F1102" s="154">
        <v>15</v>
      </c>
    </row>
    <row r="1103" spans="2:6" x14ac:dyDescent="0.35">
      <c r="B1103" s="153">
        <v>44199</v>
      </c>
      <c r="C1103" t="s">
        <v>812</v>
      </c>
      <c r="D1103" t="s">
        <v>333</v>
      </c>
      <c r="E1103" s="12">
        <v>5</v>
      </c>
      <c r="F1103" s="154">
        <v>43</v>
      </c>
    </row>
    <row r="1104" spans="2:6" x14ac:dyDescent="0.35">
      <c r="B1104" s="153">
        <v>44200</v>
      </c>
      <c r="C1104" t="s">
        <v>813</v>
      </c>
      <c r="D1104" t="s">
        <v>9</v>
      </c>
      <c r="E1104" s="12">
        <v>4</v>
      </c>
      <c r="F1104" s="154">
        <v>63</v>
      </c>
    </row>
    <row r="1105" spans="2:6" x14ac:dyDescent="0.35">
      <c r="B1105" s="153">
        <v>44201</v>
      </c>
      <c r="C1105" t="s">
        <v>812</v>
      </c>
      <c r="D1105" t="s">
        <v>11</v>
      </c>
      <c r="E1105" s="12">
        <v>3</v>
      </c>
      <c r="F1105" s="154">
        <v>29</v>
      </c>
    </row>
    <row r="1106" spans="2:6" x14ac:dyDescent="0.35">
      <c r="B1106" s="153">
        <v>44202</v>
      </c>
      <c r="C1106" t="s">
        <v>812</v>
      </c>
      <c r="D1106" t="s">
        <v>14</v>
      </c>
      <c r="E1106" s="12">
        <v>5</v>
      </c>
      <c r="F1106" s="154">
        <v>50</v>
      </c>
    </row>
    <row r="1107" spans="2:6" x14ac:dyDescent="0.35">
      <c r="B1107" s="153">
        <v>44203</v>
      </c>
      <c r="C1107" t="s">
        <v>812</v>
      </c>
      <c r="D1107" t="s">
        <v>9</v>
      </c>
      <c r="E1107" s="12">
        <v>4</v>
      </c>
      <c r="F1107" s="154">
        <v>39</v>
      </c>
    </row>
    <row r="1108" spans="2:6" x14ac:dyDescent="0.35">
      <c r="B1108" s="153">
        <v>44204</v>
      </c>
      <c r="C1108" t="s">
        <v>813</v>
      </c>
      <c r="D1108" t="s">
        <v>9</v>
      </c>
      <c r="E1108" s="12">
        <v>1</v>
      </c>
      <c r="F1108" s="154">
        <v>32</v>
      </c>
    </row>
    <row r="1109" spans="2:6" x14ac:dyDescent="0.35">
      <c r="B1109" s="153">
        <v>44205</v>
      </c>
      <c r="C1109" t="s">
        <v>813</v>
      </c>
      <c r="D1109" t="s">
        <v>333</v>
      </c>
      <c r="E1109" s="12">
        <v>1</v>
      </c>
      <c r="F1109" s="154">
        <v>18</v>
      </c>
    </row>
    <row r="1110" spans="2:6" x14ac:dyDescent="0.35">
      <c r="B1110" s="153">
        <v>44206</v>
      </c>
      <c r="C1110" t="s">
        <v>813</v>
      </c>
      <c r="D1110" t="s">
        <v>17</v>
      </c>
      <c r="E1110" s="12">
        <v>1</v>
      </c>
      <c r="F1110" s="154">
        <v>16</v>
      </c>
    </row>
    <row r="1111" spans="2:6" x14ac:dyDescent="0.35">
      <c r="B1111" s="153">
        <v>44207</v>
      </c>
      <c r="C1111" t="s">
        <v>813</v>
      </c>
      <c r="D1111" t="s">
        <v>10</v>
      </c>
      <c r="E1111" s="12">
        <v>4</v>
      </c>
      <c r="F1111" s="154">
        <v>28</v>
      </c>
    </row>
    <row r="1112" spans="2:6" x14ac:dyDescent="0.35">
      <c r="B1112" s="153">
        <v>44208</v>
      </c>
      <c r="C1112" t="s">
        <v>812</v>
      </c>
      <c r="D1112" t="s">
        <v>12</v>
      </c>
      <c r="E1112" s="12">
        <v>2</v>
      </c>
      <c r="F1112" s="154">
        <v>30</v>
      </c>
    </row>
    <row r="1113" spans="2:6" x14ac:dyDescent="0.35">
      <c r="B1113" s="153">
        <v>44209</v>
      </c>
      <c r="C1113" t="s">
        <v>813</v>
      </c>
      <c r="D1113" t="s">
        <v>333</v>
      </c>
      <c r="E1113" s="12">
        <v>5</v>
      </c>
      <c r="F1113" s="154">
        <v>66</v>
      </c>
    </row>
    <row r="1114" spans="2:6" x14ac:dyDescent="0.35">
      <c r="B1114" s="153">
        <v>44210</v>
      </c>
      <c r="C1114" t="s">
        <v>812</v>
      </c>
      <c r="D1114" t="s">
        <v>11</v>
      </c>
      <c r="E1114" s="12">
        <v>4</v>
      </c>
      <c r="F1114" s="154">
        <v>62</v>
      </c>
    </row>
    <row r="1115" spans="2:6" x14ac:dyDescent="0.35">
      <c r="B1115" s="153">
        <v>44211</v>
      </c>
      <c r="C1115" t="s">
        <v>813</v>
      </c>
      <c r="D1115" t="s">
        <v>12</v>
      </c>
      <c r="E1115" s="12">
        <v>5</v>
      </c>
      <c r="F1115" s="154">
        <v>28</v>
      </c>
    </row>
    <row r="1116" spans="2:6" x14ac:dyDescent="0.35">
      <c r="B1116" s="153">
        <v>44212</v>
      </c>
      <c r="C1116" t="s">
        <v>813</v>
      </c>
      <c r="D1116" t="s">
        <v>15</v>
      </c>
      <c r="E1116" s="12">
        <v>4</v>
      </c>
      <c r="F1116" s="154">
        <v>20</v>
      </c>
    </row>
    <row r="1117" spans="2:6" x14ac:dyDescent="0.35">
      <c r="B1117" s="153">
        <v>44213</v>
      </c>
      <c r="C1117" t="s">
        <v>812</v>
      </c>
      <c r="D1117" t="s">
        <v>13</v>
      </c>
      <c r="E1117" s="12">
        <v>4</v>
      </c>
      <c r="F1117" s="154">
        <v>60</v>
      </c>
    </row>
    <row r="1118" spans="2:6" x14ac:dyDescent="0.35">
      <c r="B1118" s="153">
        <v>44214</v>
      </c>
      <c r="C1118" t="s">
        <v>813</v>
      </c>
      <c r="D1118" t="s">
        <v>13</v>
      </c>
      <c r="E1118" s="12">
        <v>1</v>
      </c>
      <c r="F1118" s="154">
        <v>49</v>
      </c>
    </row>
    <row r="1119" spans="2:6" x14ac:dyDescent="0.35">
      <c r="B1119" s="153">
        <v>44215</v>
      </c>
      <c r="C1119" t="s">
        <v>812</v>
      </c>
      <c r="D1119" t="s">
        <v>14</v>
      </c>
      <c r="E1119" s="12">
        <v>2</v>
      </c>
      <c r="F1119" s="154">
        <v>34</v>
      </c>
    </row>
    <row r="1120" spans="2:6" x14ac:dyDescent="0.35">
      <c r="B1120" s="153">
        <v>44216</v>
      </c>
      <c r="C1120" t="s">
        <v>813</v>
      </c>
      <c r="D1120" t="s">
        <v>14</v>
      </c>
      <c r="E1120" s="12">
        <v>1</v>
      </c>
      <c r="F1120" s="154">
        <v>16</v>
      </c>
    </row>
    <row r="1121" spans="2:6" x14ac:dyDescent="0.35">
      <c r="B1121" s="153">
        <v>44217</v>
      </c>
      <c r="C1121" t="s">
        <v>813</v>
      </c>
      <c r="D1121" t="s">
        <v>17</v>
      </c>
      <c r="E1121" s="12">
        <v>4</v>
      </c>
      <c r="F1121" s="154">
        <v>49</v>
      </c>
    </row>
    <row r="1122" spans="2:6" x14ac:dyDescent="0.35">
      <c r="B1122" s="153">
        <v>44218</v>
      </c>
      <c r="C1122" t="s">
        <v>813</v>
      </c>
      <c r="D1122" t="s">
        <v>12</v>
      </c>
      <c r="E1122" s="12">
        <v>5</v>
      </c>
      <c r="F1122" s="154">
        <v>23</v>
      </c>
    </row>
    <row r="1123" spans="2:6" x14ac:dyDescent="0.35">
      <c r="B1123" s="153">
        <v>44219</v>
      </c>
      <c r="C1123" t="s">
        <v>812</v>
      </c>
      <c r="D1123" t="s">
        <v>17</v>
      </c>
      <c r="E1123" s="12">
        <v>1</v>
      </c>
      <c r="F1123" s="154">
        <v>65</v>
      </c>
    </row>
    <row r="1124" spans="2:6" x14ac:dyDescent="0.35">
      <c r="B1124" s="153">
        <v>44220</v>
      </c>
      <c r="C1124" t="s">
        <v>813</v>
      </c>
      <c r="D1124" t="s">
        <v>13</v>
      </c>
      <c r="E1124" s="12">
        <v>2</v>
      </c>
      <c r="F1124" s="154">
        <v>17</v>
      </c>
    </row>
    <row r="1125" spans="2:6" x14ac:dyDescent="0.35">
      <c r="B1125" s="153">
        <v>44221</v>
      </c>
      <c r="C1125" t="s">
        <v>812</v>
      </c>
      <c r="D1125" t="s">
        <v>14</v>
      </c>
      <c r="E1125" s="12">
        <v>5</v>
      </c>
      <c r="F1125" s="154">
        <v>18</v>
      </c>
    </row>
    <row r="1126" spans="2:6" x14ac:dyDescent="0.35">
      <c r="B1126" s="153">
        <v>44222</v>
      </c>
      <c r="C1126" t="s">
        <v>812</v>
      </c>
      <c r="D1126" t="s">
        <v>12</v>
      </c>
      <c r="E1126" s="12">
        <v>3</v>
      </c>
      <c r="F1126" s="154">
        <v>23</v>
      </c>
    </row>
    <row r="1127" spans="2:6" x14ac:dyDescent="0.35">
      <c r="B1127" s="153">
        <v>44223</v>
      </c>
      <c r="C1127" t="s">
        <v>812</v>
      </c>
      <c r="D1127" t="s">
        <v>17</v>
      </c>
      <c r="E1127" s="12">
        <v>1</v>
      </c>
      <c r="F1127" s="154">
        <v>68</v>
      </c>
    </row>
    <row r="1128" spans="2:6" x14ac:dyDescent="0.35">
      <c r="B1128" s="153">
        <v>44224</v>
      </c>
      <c r="C1128" t="s">
        <v>813</v>
      </c>
      <c r="D1128" t="s">
        <v>14</v>
      </c>
      <c r="E1128" s="12">
        <v>3</v>
      </c>
      <c r="F1128" s="154">
        <v>26</v>
      </c>
    </row>
    <row r="1129" spans="2:6" x14ac:dyDescent="0.35">
      <c r="B1129" s="153">
        <v>44225</v>
      </c>
      <c r="C1129" t="s">
        <v>813</v>
      </c>
      <c r="D1129" t="s">
        <v>333</v>
      </c>
      <c r="E1129" s="12">
        <v>3</v>
      </c>
      <c r="F1129" s="154">
        <v>70</v>
      </c>
    </row>
    <row r="1130" spans="2:6" x14ac:dyDescent="0.35">
      <c r="B1130" s="153">
        <v>44226</v>
      </c>
      <c r="C1130" t="s">
        <v>812</v>
      </c>
      <c r="D1130" t="s">
        <v>14</v>
      </c>
      <c r="E1130" s="12">
        <v>5</v>
      </c>
      <c r="F1130" s="154">
        <v>27</v>
      </c>
    </row>
    <row r="1131" spans="2:6" x14ac:dyDescent="0.35">
      <c r="B1131" s="153">
        <v>44227</v>
      </c>
      <c r="C1131" t="s">
        <v>813</v>
      </c>
      <c r="D1131" t="s">
        <v>333</v>
      </c>
      <c r="E1131" s="12">
        <v>2</v>
      </c>
      <c r="F1131" s="154">
        <v>39</v>
      </c>
    </row>
    <row r="1132" spans="2:6" x14ac:dyDescent="0.35">
      <c r="B1132" s="153">
        <v>44228</v>
      </c>
      <c r="C1132" t="s">
        <v>813</v>
      </c>
      <c r="D1132" t="s">
        <v>15</v>
      </c>
      <c r="E1132" s="12">
        <v>3</v>
      </c>
      <c r="F1132" s="154">
        <v>55</v>
      </c>
    </row>
    <row r="1133" spans="2:6" x14ac:dyDescent="0.35">
      <c r="B1133" s="153">
        <v>44229</v>
      </c>
      <c r="C1133" t="s">
        <v>812</v>
      </c>
      <c r="D1133" t="s">
        <v>12</v>
      </c>
      <c r="E1133" s="12">
        <v>2</v>
      </c>
      <c r="F1133" s="154">
        <v>61</v>
      </c>
    </row>
    <row r="1134" spans="2:6" x14ac:dyDescent="0.35">
      <c r="B1134" s="153">
        <v>44230</v>
      </c>
      <c r="C1134" t="s">
        <v>812</v>
      </c>
      <c r="D1134" t="s">
        <v>15</v>
      </c>
      <c r="E1134" s="12">
        <v>1</v>
      </c>
      <c r="F1134" s="154">
        <v>31</v>
      </c>
    </row>
    <row r="1135" spans="2:6" x14ac:dyDescent="0.35">
      <c r="B1135" s="153">
        <v>44231</v>
      </c>
      <c r="C1135" t="s">
        <v>812</v>
      </c>
      <c r="D1135" t="s">
        <v>15</v>
      </c>
      <c r="E1135" s="12">
        <v>3</v>
      </c>
      <c r="F1135" s="154">
        <v>47</v>
      </c>
    </row>
    <row r="1136" spans="2:6" x14ac:dyDescent="0.35">
      <c r="B1136" s="153">
        <v>44232</v>
      </c>
      <c r="C1136" t="s">
        <v>812</v>
      </c>
      <c r="D1136" t="s">
        <v>15</v>
      </c>
      <c r="E1136" s="12">
        <v>2</v>
      </c>
      <c r="F1136" s="154">
        <v>59</v>
      </c>
    </row>
    <row r="1137" spans="2:6" x14ac:dyDescent="0.35">
      <c r="B1137" s="153">
        <v>44233</v>
      </c>
      <c r="C1137" t="s">
        <v>812</v>
      </c>
      <c r="D1137" t="s">
        <v>12</v>
      </c>
      <c r="E1137" s="12">
        <v>5</v>
      </c>
      <c r="F1137" s="154">
        <v>53</v>
      </c>
    </row>
    <row r="1138" spans="2:6" x14ac:dyDescent="0.35">
      <c r="B1138" s="153">
        <v>44234</v>
      </c>
      <c r="C1138" t="s">
        <v>813</v>
      </c>
      <c r="D1138" t="s">
        <v>11</v>
      </c>
      <c r="E1138" s="12">
        <v>1</v>
      </c>
      <c r="F1138" s="154">
        <v>16</v>
      </c>
    </row>
    <row r="1139" spans="2:6" x14ac:dyDescent="0.35">
      <c r="B1139" s="153">
        <v>44235</v>
      </c>
      <c r="C1139" t="s">
        <v>813</v>
      </c>
      <c r="D1139" t="s">
        <v>17</v>
      </c>
      <c r="E1139" s="12">
        <v>3</v>
      </c>
      <c r="F1139" s="154">
        <v>30</v>
      </c>
    </row>
    <row r="1140" spans="2:6" x14ac:dyDescent="0.35">
      <c r="B1140" s="153">
        <v>44236</v>
      </c>
      <c r="C1140" t="s">
        <v>812</v>
      </c>
      <c r="D1140" t="s">
        <v>16</v>
      </c>
      <c r="E1140" s="12">
        <v>1</v>
      </c>
      <c r="F1140" s="154">
        <v>60</v>
      </c>
    </row>
    <row r="1141" spans="2:6" x14ac:dyDescent="0.35">
      <c r="B1141" s="153">
        <v>44237</v>
      </c>
      <c r="C1141" t="s">
        <v>812</v>
      </c>
      <c r="D1141" t="s">
        <v>17</v>
      </c>
      <c r="E1141" s="12">
        <v>3</v>
      </c>
      <c r="F1141" s="154">
        <v>22</v>
      </c>
    </row>
    <row r="1142" spans="2:6" x14ac:dyDescent="0.35">
      <c r="B1142" s="153">
        <v>44238</v>
      </c>
      <c r="C1142" t="s">
        <v>812</v>
      </c>
      <c r="D1142" t="s">
        <v>14</v>
      </c>
      <c r="E1142" s="12">
        <v>1</v>
      </c>
      <c r="F1142" s="154">
        <v>63</v>
      </c>
    </row>
    <row r="1143" spans="2:6" x14ac:dyDescent="0.35">
      <c r="B1143" s="153">
        <v>44239</v>
      </c>
      <c r="C1143" t="s">
        <v>812</v>
      </c>
      <c r="D1143" t="s">
        <v>15</v>
      </c>
      <c r="E1143" s="12">
        <v>4</v>
      </c>
      <c r="F1143" s="154">
        <v>66</v>
      </c>
    </row>
    <row r="1144" spans="2:6" x14ac:dyDescent="0.35">
      <c r="B1144" s="153">
        <v>44240</v>
      </c>
      <c r="C1144" t="s">
        <v>813</v>
      </c>
      <c r="D1144" t="s">
        <v>10</v>
      </c>
      <c r="E1144" s="12">
        <v>3</v>
      </c>
      <c r="F1144" s="154">
        <v>62</v>
      </c>
    </row>
    <row r="1145" spans="2:6" x14ac:dyDescent="0.35">
      <c r="B1145" s="153">
        <v>44241</v>
      </c>
      <c r="C1145" t="s">
        <v>813</v>
      </c>
      <c r="D1145" t="s">
        <v>333</v>
      </c>
      <c r="E1145" s="12">
        <v>5</v>
      </c>
      <c r="F1145" s="154">
        <v>38</v>
      </c>
    </row>
    <row r="1146" spans="2:6" x14ac:dyDescent="0.35">
      <c r="B1146" s="153">
        <v>44242</v>
      </c>
      <c r="C1146" t="s">
        <v>813</v>
      </c>
      <c r="D1146" t="s">
        <v>12</v>
      </c>
      <c r="E1146" s="12">
        <v>1</v>
      </c>
      <c r="F1146" s="154">
        <v>68</v>
      </c>
    </row>
    <row r="1147" spans="2:6" x14ac:dyDescent="0.35">
      <c r="B1147" s="153">
        <v>44243</v>
      </c>
      <c r="C1147" t="s">
        <v>813</v>
      </c>
      <c r="D1147" t="s">
        <v>10</v>
      </c>
      <c r="E1147" s="12">
        <v>5</v>
      </c>
      <c r="F1147" s="154">
        <v>19</v>
      </c>
    </row>
    <row r="1148" spans="2:6" x14ac:dyDescent="0.35">
      <c r="B1148" s="153">
        <v>44244</v>
      </c>
      <c r="C1148" t="s">
        <v>813</v>
      </c>
      <c r="D1148" t="s">
        <v>15</v>
      </c>
      <c r="E1148" s="12">
        <v>5</v>
      </c>
      <c r="F1148" s="154">
        <v>65</v>
      </c>
    </row>
    <row r="1149" spans="2:6" x14ac:dyDescent="0.35">
      <c r="B1149" s="153">
        <v>44245</v>
      </c>
      <c r="C1149" t="s">
        <v>812</v>
      </c>
      <c r="D1149" t="s">
        <v>17</v>
      </c>
      <c r="E1149" s="12">
        <v>1</v>
      </c>
      <c r="F1149" s="154">
        <v>18</v>
      </c>
    </row>
    <row r="1150" spans="2:6" x14ac:dyDescent="0.35">
      <c r="B1150" s="153">
        <v>44246</v>
      </c>
      <c r="C1150" t="s">
        <v>812</v>
      </c>
      <c r="D1150" t="s">
        <v>333</v>
      </c>
      <c r="E1150" s="12">
        <v>2</v>
      </c>
      <c r="F1150" s="154">
        <v>47</v>
      </c>
    </row>
    <row r="1151" spans="2:6" x14ac:dyDescent="0.35">
      <c r="B1151" s="153">
        <v>44247</v>
      </c>
      <c r="C1151" t="s">
        <v>812</v>
      </c>
      <c r="D1151" t="s">
        <v>16</v>
      </c>
      <c r="E1151" s="12">
        <v>2</v>
      </c>
      <c r="F1151" s="154">
        <v>33</v>
      </c>
    </row>
    <row r="1152" spans="2:6" x14ac:dyDescent="0.35">
      <c r="B1152" s="153">
        <v>44248</v>
      </c>
      <c r="C1152" t="s">
        <v>812</v>
      </c>
      <c r="D1152" t="s">
        <v>14</v>
      </c>
      <c r="E1152" s="12">
        <v>1</v>
      </c>
      <c r="F1152" s="154">
        <v>50</v>
      </c>
    </row>
    <row r="1153" spans="2:6" x14ac:dyDescent="0.35">
      <c r="B1153" s="153">
        <v>44249</v>
      </c>
      <c r="C1153" t="s">
        <v>812</v>
      </c>
      <c r="D1153" t="s">
        <v>333</v>
      </c>
      <c r="E1153" s="12">
        <v>3</v>
      </c>
      <c r="F1153" s="154">
        <v>25</v>
      </c>
    </row>
    <row r="1154" spans="2:6" x14ac:dyDescent="0.35">
      <c r="B1154" s="153">
        <v>44250</v>
      </c>
      <c r="C1154" t="s">
        <v>813</v>
      </c>
      <c r="D1154" t="s">
        <v>17</v>
      </c>
      <c r="E1154" s="12">
        <v>2</v>
      </c>
      <c r="F1154" s="154">
        <v>32</v>
      </c>
    </row>
    <row r="1155" spans="2:6" x14ac:dyDescent="0.35">
      <c r="B1155" s="153">
        <v>44251</v>
      </c>
      <c r="C1155" t="s">
        <v>813</v>
      </c>
      <c r="D1155" t="s">
        <v>13</v>
      </c>
      <c r="E1155" s="12">
        <v>3</v>
      </c>
      <c r="F1155" s="154">
        <v>31</v>
      </c>
    </row>
    <row r="1156" spans="2:6" x14ac:dyDescent="0.35">
      <c r="B1156" s="153">
        <v>44252</v>
      </c>
      <c r="C1156" t="s">
        <v>812</v>
      </c>
      <c r="D1156" t="s">
        <v>10</v>
      </c>
      <c r="E1156" s="12">
        <v>3</v>
      </c>
      <c r="F1156" s="154">
        <v>22</v>
      </c>
    </row>
    <row r="1157" spans="2:6" x14ac:dyDescent="0.35">
      <c r="B1157" s="153">
        <v>44253</v>
      </c>
      <c r="C1157" t="s">
        <v>812</v>
      </c>
      <c r="D1157" t="s">
        <v>12</v>
      </c>
      <c r="E1157" s="12">
        <v>2</v>
      </c>
      <c r="F1157" s="154">
        <v>35</v>
      </c>
    </row>
    <row r="1158" spans="2:6" x14ac:dyDescent="0.35">
      <c r="B1158" s="153">
        <v>44254</v>
      </c>
      <c r="C1158" t="s">
        <v>813</v>
      </c>
      <c r="D1158" t="s">
        <v>12</v>
      </c>
      <c r="E1158" s="12">
        <v>3</v>
      </c>
      <c r="F1158" s="154">
        <v>69</v>
      </c>
    </row>
    <row r="1159" spans="2:6" x14ac:dyDescent="0.35">
      <c r="B1159" s="153">
        <v>44255</v>
      </c>
      <c r="C1159" t="s">
        <v>812</v>
      </c>
      <c r="D1159" t="s">
        <v>16</v>
      </c>
      <c r="E1159" s="12">
        <v>2</v>
      </c>
      <c r="F1159" s="154">
        <v>50</v>
      </c>
    </row>
    <row r="1160" spans="2:6" x14ac:dyDescent="0.35">
      <c r="B1160" s="153">
        <v>44256</v>
      </c>
      <c r="C1160" t="s">
        <v>812</v>
      </c>
      <c r="D1160" t="s">
        <v>15</v>
      </c>
      <c r="E1160" s="12">
        <v>3</v>
      </c>
      <c r="F1160" s="154">
        <v>38</v>
      </c>
    </row>
    <row r="1161" spans="2:6" x14ac:dyDescent="0.35">
      <c r="B1161" s="153">
        <v>44257</v>
      </c>
      <c r="C1161" t="s">
        <v>812</v>
      </c>
      <c r="D1161" t="s">
        <v>17</v>
      </c>
      <c r="E1161" s="12">
        <v>5</v>
      </c>
      <c r="F1161" s="154">
        <v>31</v>
      </c>
    </row>
    <row r="1162" spans="2:6" x14ac:dyDescent="0.35">
      <c r="B1162" s="153">
        <v>44258</v>
      </c>
      <c r="C1162" t="s">
        <v>812</v>
      </c>
      <c r="D1162" t="s">
        <v>333</v>
      </c>
      <c r="E1162" s="12">
        <v>4</v>
      </c>
      <c r="F1162" s="154">
        <v>57</v>
      </c>
    </row>
    <row r="1163" spans="2:6" x14ac:dyDescent="0.35">
      <c r="B1163" s="153">
        <v>44259</v>
      </c>
      <c r="C1163" t="s">
        <v>812</v>
      </c>
      <c r="D1163" t="s">
        <v>12</v>
      </c>
      <c r="E1163" s="12">
        <v>5</v>
      </c>
      <c r="F1163" s="154">
        <v>56</v>
      </c>
    </row>
    <row r="1164" spans="2:6" x14ac:dyDescent="0.35">
      <c r="B1164" s="153">
        <v>44260</v>
      </c>
      <c r="C1164" t="s">
        <v>812</v>
      </c>
      <c r="D1164" t="s">
        <v>16</v>
      </c>
      <c r="E1164" s="12">
        <v>5</v>
      </c>
      <c r="F1164" s="154">
        <v>65</v>
      </c>
    </row>
    <row r="1165" spans="2:6" x14ac:dyDescent="0.35">
      <c r="B1165" s="153">
        <v>44261</v>
      </c>
      <c r="C1165" t="s">
        <v>813</v>
      </c>
      <c r="D1165" t="s">
        <v>16</v>
      </c>
      <c r="E1165" s="12">
        <v>2</v>
      </c>
      <c r="F1165" s="154">
        <v>30</v>
      </c>
    </row>
    <row r="1166" spans="2:6" x14ac:dyDescent="0.35">
      <c r="B1166" s="153">
        <v>44262</v>
      </c>
      <c r="C1166" t="s">
        <v>812</v>
      </c>
      <c r="D1166" t="s">
        <v>9</v>
      </c>
      <c r="E1166" s="12">
        <v>3</v>
      </c>
      <c r="F1166" s="154">
        <v>39</v>
      </c>
    </row>
    <row r="1167" spans="2:6" x14ac:dyDescent="0.35">
      <c r="B1167" s="153">
        <v>44263</v>
      </c>
      <c r="C1167" t="s">
        <v>812</v>
      </c>
      <c r="D1167" t="s">
        <v>10</v>
      </c>
      <c r="E1167" s="12">
        <v>3</v>
      </c>
      <c r="F1167" s="154">
        <v>61</v>
      </c>
    </row>
    <row r="1168" spans="2:6" x14ac:dyDescent="0.35">
      <c r="B1168" s="153">
        <v>44264</v>
      </c>
      <c r="C1168" t="s">
        <v>813</v>
      </c>
      <c r="D1168" t="s">
        <v>11</v>
      </c>
      <c r="E1168" s="12">
        <v>3</v>
      </c>
      <c r="F1168" s="154">
        <v>61</v>
      </c>
    </row>
    <row r="1169" spans="2:6" x14ac:dyDescent="0.35">
      <c r="B1169" s="153">
        <v>44265</v>
      </c>
      <c r="C1169" t="s">
        <v>812</v>
      </c>
      <c r="D1169" t="s">
        <v>11</v>
      </c>
      <c r="E1169" s="12">
        <v>4</v>
      </c>
      <c r="F1169" s="154">
        <v>17</v>
      </c>
    </row>
    <row r="1170" spans="2:6" x14ac:dyDescent="0.35">
      <c r="B1170" s="153">
        <v>44266</v>
      </c>
      <c r="C1170" t="s">
        <v>812</v>
      </c>
      <c r="D1170" t="s">
        <v>12</v>
      </c>
      <c r="E1170" s="12">
        <v>1</v>
      </c>
      <c r="F1170" s="154">
        <v>59</v>
      </c>
    </row>
    <row r="1171" spans="2:6" x14ac:dyDescent="0.35">
      <c r="B1171" s="153">
        <v>44267</v>
      </c>
      <c r="C1171" t="s">
        <v>812</v>
      </c>
      <c r="D1171" t="s">
        <v>14</v>
      </c>
      <c r="E1171" s="12">
        <v>3</v>
      </c>
      <c r="F1171" s="154">
        <v>55</v>
      </c>
    </row>
    <row r="1172" spans="2:6" x14ac:dyDescent="0.35">
      <c r="B1172" s="153">
        <v>44268</v>
      </c>
      <c r="C1172" t="s">
        <v>812</v>
      </c>
      <c r="D1172" t="s">
        <v>333</v>
      </c>
      <c r="E1172" s="12">
        <v>5</v>
      </c>
      <c r="F1172" s="154">
        <v>46</v>
      </c>
    </row>
    <row r="1173" spans="2:6" x14ac:dyDescent="0.35">
      <c r="B1173" s="153">
        <v>44269</v>
      </c>
      <c r="C1173" t="s">
        <v>812</v>
      </c>
      <c r="D1173" t="s">
        <v>11</v>
      </c>
      <c r="E1173" s="12">
        <v>1</v>
      </c>
      <c r="F1173" s="154">
        <v>45</v>
      </c>
    </row>
    <row r="1174" spans="2:6" x14ac:dyDescent="0.35">
      <c r="B1174" s="153">
        <v>44270</v>
      </c>
      <c r="C1174" t="s">
        <v>812</v>
      </c>
      <c r="D1174" t="s">
        <v>333</v>
      </c>
      <c r="E1174" s="12">
        <v>1</v>
      </c>
      <c r="F1174" s="154">
        <v>53</v>
      </c>
    </row>
    <row r="1175" spans="2:6" x14ac:dyDescent="0.35">
      <c r="B1175" s="153">
        <v>44271</v>
      </c>
      <c r="C1175" t="s">
        <v>812</v>
      </c>
      <c r="D1175" t="s">
        <v>9</v>
      </c>
      <c r="E1175" s="12">
        <v>5</v>
      </c>
      <c r="F1175" s="154">
        <v>41</v>
      </c>
    </row>
    <row r="1176" spans="2:6" x14ac:dyDescent="0.35">
      <c r="B1176" s="153">
        <v>44272</v>
      </c>
      <c r="C1176" t="s">
        <v>813</v>
      </c>
      <c r="D1176" t="s">
        <v>10</v>
      </c>
      <c r="E1176" s="12">
        <v>3</v>
      </c>
      <c r="F1176" s="154">
        <v>32</v>
      </c>
    </row>
    <row r="1177" spans="2:6" x14ac:dyDescent="0.35">
      <c r="B1177" s="153">
        <v>44273</v>
      </c>
      <c r="C1177" t="s">
        <v>812</v>
      </c>
      <c r="D1177" t="s">
        <v>12</v>
      </c>
      <c r="E1177" s="12">
        <v>2</v>
      </c>
      <c r="F1177" s="154">
        <v>60</v>
      </c>
    </row>
    <row r="1178" spans="2:6" x14ac:dyDescent="0.35">
      <c r="B1178" s="153">
        <v>44274</v>
      </c>
      <c r="C1178" t="s">
        <v>812</v>
      </c>
      <c r="D1178" t="s">
        <v>11</v>
      </c>
      <c r="E1178" s="12">
        <v>2</v>
      </c>
      <c r="F1178" s="154">
        <v>42</v>
      </c>
    </row>
    <row r="1179" spans="2:6" x14ac:dyDescent="0.35">
      <c r="B1179" s="153">
        <v>44275</v>
      </c>
      <c r="C1179" t="s">
        <v>813</v>
      </c>
      <c r="D1179" t="s">
        <v>16</v>
      </c>
      <c r="E1179" s="12">
        <v>2</v>
      </c>
      <c r="F1179" s="154">
        <v>52</v>
      </c>
    </row>
    <row r="1180" spans="2:6" x14ac:dyDescent="0.35">
      <c r="B1180" s="153">
        <v>44276</v>
      </c>
      <c r="C1180" t="s">
        <v>812</v>
      </c>
      <c r="D1180" t="s">
        <v>11</v>
      </c>
      <c r="E1180" s="12">
        <v>1</v>
      </c>
      <c r="F1180" s="154">
        <v>16</v>
      </c>
    </row>
    <row r="1181" spans="2:6" x14ac:dyDescent="0.35">
      <c r="B1181" s="153">
        <v>44277</v>
      </c>
      <c r="C1181" t="s">
        <v>813</v>
      </c>
      <c r="D1181" t="s">
        <v>16</v>
      </c>
      <c r="E1181" s="12">
        <v>2</v>
      </c>
      <c r="F1181" s="154">
        <v>52</v>
      </c>
    </row>
    <row r="1182" spans="2:6" x14ac:dyDescent="0.35">
      <c r="B1182" s="153">
        <v>44278</v>
      </c>
      <c r="C1182" t="s">
        <v>812</v>
      </c>
      <c r="D1182" t="s">
        <v>14</v>
      </c>
      <c r="E1182" s="12">
        <v>1</v>
      </c>
      <c r="F1182" s="154">
        <v>65</v>
      </c>
    </row>
    <row r="1183" spans="2:6" x14ac:dyDescent="0.35">
      <c r="B1183" s="153">
        <v>44279</v>
      </c>
      <c r="C1183" t="s">
        <v>812</v>
      </c>
      <c r="D1183" t="s">
        <v>17</v>
      </c>
      <c r="E1183" s="12">
        <v>3</v>
      </c>
      <c r="F1183" s="154">
        <v>19</v>
      </c>
    </row>
    <row r="1184" spans="2:6" x14ac:dyDescent="0.35">
      <c r="B1184" s="153">
        <v>44280</v>
      </c>
      <c r="C1184" t="s">
        <v>813</v>
      </c>
      <c r="D1184" t="s">
        <v>15</v>
      </c>
      <c r="E1184" s="12">
        <v>5</v>
      </c>
      <c r="F1184" s="154">
        <v>67</v>
      </c>
    </row>
    <row r="1185" spans="2:6" x14ac:dyDescent="0.35">
      <c r="B1185" s="153">
        <v>44281</v>
      </c>
      <c r="C1185" t="s">
        <v>812</v>
      </c>
      <c r="D1185" t="s">
        <v>15</v>
      </c>
      <c r="E1185" s="12">
        <v>4</v>
      </c>
      <c r="F1185" s="154">
        <v>18</v>
      </c>
    </row>
    <row r="1186" spans="2:6" x14ac:dyDescent="0.35">
      <c r="B1186" s="153">
        <v>44282</v>
      </c>
      <c r="C1186" t="s">
        <v>813</v>
      </c>
      <c r="D1186" t="s">
        <v>12</v>
      </c>
      <c r="E1186" s="12">
        <v>1</v>
      </c>
      <c r="F1186" s="154">
        <v>17</v>
      </c>
    </row>
    <row r="1187" spans="2:6" x14ac:dyDescent="0.35">
      <c r="B1187" s="153">
        <v>44283</v>
      </c>
      <c r="C1187" t="s">
        <v>813</v>
      </c>
      <c r="D1187" t="s">
        <v>15</v>
      </c>
      <c r="E1187" s="12">
        <v>5</v>
      </c>
      <c r="F1187" s="154">
        <v>58</v>
      </c>
    </row>
    <row r="1188" spans="2:6" x14ac:dyDescent="0.35">
      <c r="B1188" s="153">
        <v>44284</v>
      </c>
      <c r="C1188" t="s">
        <v>812</v>
      </c>
      <c r="D1188" t="s">
        <v>11</v>
      </c>
      <c r="E1188" s="12">
        <v>1</v>
      </c>
      <c r="F1188" s="154">
        <v>34</v>
      </c>
    </row>
    <row r="1189" spans="2:6" x14ac:dyDescent="0.35">
      <c r="B1189" s="153">
        <v>44285</v>
      </c>
      <c r="C1189" t="s">
        <v>812</v>
      </c>
      <c r="D1189" t="s">
        <v>17</v>
      </c>
      <c r="E1189" s="12">
        <v>5</v>
      </c>
      <c r="F1189" s="154">
        <v>16</v>
      </c>
    </row>
    <row r="1190" spans="2:6" x14ac:dyDescent="0.35">
      <c r="B1190" s="153">
        <v>44286</v>
      </c>
      <c r="C1190" t="s">
        <v>813</v>
      </c>
      <c r="D1190" t="s">
        <v>10</v>
      </c>
      <c r="E1190" s="12">
        <v>3</v>
      </c>
      <c r="F1190" s="154">
        <v>63</v>
      </c>
    </row>
    <row r="1191" spans="2:6" x14ac:dyDescent="0.35">
      <c r="B1191" s="153">
        <v>44287</v>
      </c>
      <c r="C1191" t="s">
        <v>813</v>
      </c>
      <c r="D1191" t="s">
        <v>15</v>
      </c>
      <c r="E1191" s="12">
        <v>5</v>
      </c>
      <c r="F1191" s="154">
        <v>16</v>
      </c>
    </row>
    <row r="1192" spans="2:6" x14ac:dyDescent="0.35">
      <c r="B1192" s="153">
        <v>44288</v>
      </c>
      <c r="C1192" t="s">
        <v>813</v>
      </c>
      <c r="D1192" t="s">
        <v>9</v>
      </c>
      <c r="E1192" s="12">
        <v>2</v>
      </c>
      <c r="F1192" s="154">
        <v>16</v>
      </c>
    </row>
    <row r="1193" spans="2:6" x14ac:dyDescent="0.35">
      <c r="B1193" s="153">
        <v>44289</v>
      </c>
      <c r="C1193" t="s">
        <v>813</v>
      </c>
      <c r="D1193" t="s">
        <v>12</v>
      </c>
      <c r="E1193" s="12">
        <v>2</v>
      </c>
      <c r="F1193" s="154">
        <v>15</v>
      </c>
    </row>
    <row r="1194" spans="2:6" x14ac:dyDescent="0.35">
      <c r="B1194" s="153">
        <v>44290</v>
      </c>
      <c r="C1194" t="s">
        <v>812</v>
      </c>
      <c r="D1194" t="s">
        <v>10</v>
      </c>
      <c r="E1194" s="12">
        <v>3</v>
      </c>
      <c r="F1194" s="154">
        <v>34</v>
      </c>
    </row>
    <row r="1195" spans="2:6" x14ac:dyDescent="0.35">
      <c r="B1195" s="153">
        <v>44291</v>
      </c>
      <c r="C1195" t="s">
        <v>813</v>
      </c>
      <c r="D1195" t="s">
        <v>14</v>
      </c>
      <c r="E1195" s="12">
        <v>1</v>
      </c>
      <c r="F1195" s="154">
        <v>15</v>
      </c>
    </row>
    <row r="1196" spans="2:6" x14ac:dyDescent="0.35">
      <c r="B1196" s="153">
        <v>44292</v>
      </c>
      <c r="C1196" t="s">
        <v>813</v>
      </c>
      <c r="D1196" t="s">
        <v>16</v>
      </c>
      <c r="E1196" s="12">
        <v>1</v>
      </c>
      <c r="F1196" s="154">
        <v>42</v>
      </c>
    </row>
    <row r="1197" spans="2:6" x14ac:dyDescent="0.35">
      <c r="B1197" s="153">
        <v>44293</v>
      </c>
      <c r="C1197" t="s">
        <v>813</v>
      </c>
      <c r="D1197" t="s">
        <v>16</v>
      </c>
      <c r="E1197" s="12">
        <v>2</v>
      </c>
      <c r="F1197" s="154">
        <v>23</v>
      </c>
    </row>
    <row r="1198" spans="2:6" x14ac:dyDescent="0.35">
      <c r="B1198" s="153">
        <v>44294</v>
      </c>
      <c r="C1198" t="s">
        <v>812</v>
      </c>
      <c r="D1198" t="s">
        <v>12</v>
      </c>
      <c r="E1198" s="12">
        <v>3</v>
      </c>
      <c r="F1198" s="154">
        <v>56</v>
      </c>
    </row>
    <row r="1199" spans="2:6" x14ac:dyDescent="0.35">
      <c r="B1199" s="153">
        <v>44295</v>
      </c>
      <c r="C1199" t="s">
        <v>813</v>
      </c>
      <c r="D1199" t="s">
        <v>11</v>
      </c>
      <c r="E1199" s="12">
        <v>5</v>
      </c>
      <c r="F1199" s="154">
        <v>25</v>
      </c>
    </row>
    <row r="1200" spans="2:6" x14ac:dyDescent="0.35">
      <c r="B1200" s="153">
        <v>44296</v>
      </c>
      <c r="C1200" t="s">
        <v>813</v>
      </c>
      <c r="D1200" t="s">
        <v>14</v>
      </c>
      <c r="E1200" s="12">
        <v>1</v>
      </c>
      <c r="F1200" s="154">
        <v>62</v>
      </c>
    </row>
    <row r="1201" spans="2:6" x14ac:dyDescent="0.35">
      <c r="B1201" s="153">
        <v>44297</v>
      </c>
      <c r="C1201" t="s">
        <v>813</v>
      </c>
      <c r="D1201" t="s">
        <v>9</v>
      </c>
      <c r="E1201" s="12">
        <v>2</v>
      </c>
      <c r="F1201" s="154">
        <v>67</v>
      </c>
    </row>
    <row r="1202" spans="2:6" x14ac:dyDescent="0.35">
      <c r="B1202" s="153">
        <v>44298</v>
      </c>
      <c r="C1202" t="s">
        <v>813</v>
      </c>
      <c r="D1202" t="s">
        <v>12</v>
      </c>
      <c r="E1202" s="12">
        <v>1</v>
      </c>
      <c r="F1202" s="154">
        <v>42</v>
      </c>
    </row>
    <row r="1203" spans="2:6" x14ac:dyDescent="0.35">
      <c r="B1203" s="153">
        <v>44299</v>
      </c>
      <c r="C1203" t="s">
        <v>813</v>
      </c>
      <c r="D1203" t="s">
        <v>14</v>
      </c>
      <c r="E1203" s="12">
        <v>5</v>
      </c>
      <c r="F1203" s="154">
        <v>18</v>
      </c>
    </row>
    <row r="1204" spans="2:6" x14ac:dyDescent="0.35">
      <c r="B1204" s="153">
        <v>44300</v>
      </c>
      <c r="C1204" t="s">
        <v>813</v>
      </c>
      <c r="D1204" t="s">
        <v>14</v>
      </c>
      <c r="E1204" s="12">
        <v>2</v>
      </c>
      <c r="F1204" s="154">
        <v>31</v>
      </c>
    </row>
    <row r="1205" spans="2:6" x14ac:dyDescent="0.35">
      <c r="B1205" s="153">
        <v>44301</v>
      </c>
      <c r="C1205" t="s">
        <v>812</v>
      </c>
      <c r="D1205" t="s">
        <v>333</v>
      </c>
      <c r="E1205" s="12">
        <v>2</v>
      </c>
      <c r="F1205" s="154">
        <v>17</v>
      </c>
    </row>
    <row r="1206" spans="2:6" x14ac:dyDescent="0.35">
      <c r="B1206" s="153">
        <v>44302</v>
      </c>
      <c r="C1206" t="s">
        <v>813</v>
      </c>
      <c r="D1206" t="s">
        <v>13</v>
      </c>
      <c r="E1206" s="12">
        <v>3</v>
      </c>
      <c r="F1206" s="154">
        <v>67</v>
      </c>
    </row>
    <row r="1207" spans="2:6" x14ac:dyDescent="0.35">
      <c r="B1207" s="153">
        <v>44303</v>
      </c>
      <c r="C1207" t="s">
        <v>812</v>
      </c>
      <c r="D1207" t="s">
        <v>16</v>
      </c>
      <c r="E1207" s="12">
        <v>4</v>
      </c>
      <c r="F1207" s="154">
        <v>66</v>
      </c>
    </row>
    <row r="1208" spans="2:6" x14ac:dyDescent="0.35">
      <c r="B1208" s="153">
        <v>44304</v>
      </c>
      <c r="C1208" t="s">
        <v>812</v>
      </c>
      <c r="D1208" t="s">
        <v>15</v>
      </c>
      <c r="E1208" s="12">
        <v>1</v>
      </c>
      <c r="F1208" s="154">
        <v>18</v>
      </c>
    </row>
    <row r="1209" spans="2:6" x14ac:dyDescent="0.35">
      <c r="B1209" s="153">
        <v>44305</v>
      </c>
      <c r="C1209" t="s">
        <v>812</v>
      </c>
      <c r="D1209" t="s">
        <v>9</v>
      </c>
      <c r="E1209" s="12">
        <v>2</v>
      </c>
      <c r="F1209" s="154">
        <v>64</v>
      </c>
    </row>
    <row r="1210" spans="2:6" x14ac:dyDescent="0.35">
      <c r="B1210" s="153">
        <v>44306</v>
      </c>
      <c r="C1210" t="s">
        <v>812</v>
      </c>
      <c r="D1210" t="s">
        <v>14</v>
      </c>
      <c r="E1210" s="12">
        <v>5</v>
      </c>
      <c r="F1210" s="154">
        <v>24</v>
      </c>
    </row>
    <row r="1211" spans="2:6" x14ac:dyDescent="0.35">
      <c r="B1211" s="153">
        <v>44307</v>
      </c>
      <c r="C1211" t="s">
        <v>813</v>
      </c>
      <c r="D1211" t="s">
        <v>10</v>
      </c>
      <c r="E1211" s="12">
        <v>5</v>
      </c>
      <c r="F1211" s="154">
        <v>65</v>
      </c>
    </row>
    <row r="1212" spans="2:6" x14ac:dyDescent="0.35">
      <c r="B1212" s="153">
        <v>44308</v>
      </c>
      <c r="C1212" t="s">
        <v>812</v>
      </c>
      <c r="D1212" t="s">
        <v>10</v>
      </c>
      <c r="E1212" s="12">
        <v>1</v>
      </c>
      <c r="F1212" s="154">
        <v>26</v>
      </c>
    </row>
    <row r="1213" spans="2:6" x14ac:dyDescent="0.35">
      <c r="B1213" s="153">
        <v>44309</v>
      </c>
      <c r="C1213" t="s">
        <v>813</v>
      </c>
      <c r="D1213" t="s">
        <v>11</v>
      </c>
      <c r="E1213" s="12">
        <v>2</v>
      </c>
      <c r="F1213" s="154">
        <v>37</v>
      </c>
    </row>
    <row r="1214" spans="2:6" x14ac:dyDescent="0.35">
      <c r="B1214" s="153">
        <v>44310</v>
      </c>
      <c r="C1214" t="s">
        <v>812</v>
      </c>
      <c r="D1214" t="s">
        <v>17</v>
      </c>
      <c r="E1214" s="12">
        <v>3</v>
      </c>
      <c r="F1214" s="154">
        <v>26</v>
      </c>
    </row>
    <row r="1215" spans="2:6" x14ac:dyDescent="0.35">
      <c r="B1215" s="153">
        <v>44311</v>
      </c>
      <c r="C1215" t="s">
        <v>812</v>
      </c>
      <c r="D1215" t="s">
        <v>14</v>
      </c>
      <c r="E1215" s="12">
        <v>3</v>
      </c>
      <c r="F1215" s="154">
        <v>68</v>
      </c>
    </row>
    <row r="1216" spans="2:6" x14ac:dyDescent="0.35">
      <c r="B1216" s="153">
        <v>44312</v>
      </c>
      <c r="C1216" t="s">
        <v>812</v>
      </c>
      <c r="D1216" t="s">
        <v>14</v>
      </c>
      <c r="E1216" s="12">
        <v>3</v>
      </c>
      <c r="F1216" s="154">
        <v>66</v>
      </c>
    </row>
    <row r="1217" spans="2:6" x14ac:dyDescent="0.35">
      <c r="B1217" s="153">
        <v>44313</v>
      </c>
      <c r="C1217" t="s">
        <v>813</v>
      </c>
      <c r="D1217" t="s">
        <v>13</v>
      </c>
      <c r="E1217" s="12">
        <v>1</v>
      </c>
      <c r="F1217" s="154">
        <v>35</v>
      </c>
    </row>
    <row r="1218" spans="2:6" x14ac:dyDescent="0.35">
      <c r="B1218" s="153">
        <v>44314</v>
      </c>
      <c r="C1218" t="s">
        <v>812</v>
      </c>
      <c r="D1218" t="s">
        <v>14</v>
      </c>
      <c r="E1218" s="12">
        <v>4</v>
      </c>
      <c r="F1218" s="154">
        <v>48</v>
      </c>
    </row>
    <row r="1219" spans="2:6" x14ac:dyDescent="0.35">
      <c r="B1219" s="153">
        <v>44315</v>
      </c>
      <c r="C1219" t="s">
        <v>812</v>
      </c>
      <c r="D1219" t="s">
        <v>14</v>
      </c>
      <c r="E1219" s="12">
        <v>2</v>
      </c>
      <c r="F1219" s="154">
        <v>20</v>
      </c>
    </row>
    <row r="1220" spans="2:6" x14ac:dyDescent="0.35">
      <c r="B1220" s="153">
        <v>44316</v>
      </c>
      <c r="C1220" t="s">
        <v>812</v>
      </c>
      <c r="D1220" t="s">
        <v>12</v>
      </c>
      <c r="E1220" s="12">
        <v>1</v>
      </c>
      <c r="F1220" s="154">
        <v>40</v>
      </c>
    </row>
  </sheetData>
  <autoFilter ref="B4:F4"/>
  <mergeCells count="1">
    <mergeCell ref="B2:N2"/>
  </mergeCells>
  <pageMargins left="0.7" right="0.7" top="0.75" bottom="0.75" header="0.3" footer="0.3"/>
  <drawing r:id="rId3"/>
  <extLst>
    <ext xmlns:x15="http://schemas.microsoft.com/office/spreadsheetml/2010/11/main" uri="{7E03D99C-DC04-49d9-9315-930204A7B6E9}">
      <x15:timelineRefs>
        <x15:timelineRef r:id="rId4"/>
      </x15:timelineRef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59999389629810485"/>
  </sheetPr>
  <dimension ref="B1:U21"/>
  <sheetViews>
    <sheetView showGridLines="0" tabSelected="1" zoomScale="90" zoomScaleNormal="90" workbookViewId="0">
      <selection activeCell="C9" sqref="C9"/>
    </sheetView>
  </sheetViews>
  <sheetFormatPr defaultRowHeight="14.5" x14ac:dyDescent="0.35"/>
  <cols>
    <col min="1" max="1" width="4.453125" customWidth="1"/>
    <col min="2" max="2" width="9.36328125" style="282" customWidth="1"/>
    <col min="3" max="3" width="60.90625" customWidth="1"/>
    <col min="5" max="5" width="9.81640625" customWidth="1"/>
    <col min="6" max="6" width="12.08984375" bestFit="1" customWidth="1"/>
    <col min="18" max="18" width="8.7265625" customWidth="1"/>
  </cols>
  <sheetData>
    <row r="1" spans="2:21" x14ac:dyDescent="0.35">
      <c r="B1"/>
    </row>
    <row r="2" spans="2:21" ht="23.5" x14ac:dyDescent="0.35">
      <c r="B2" s="326" t="s">
        <v>1100</v>
      </c>
      <c r="C2" s="327"/>
      <c r="D2" s="327"/>
      <c r="E2" s="327"/>
      <c r="F2" s="327"/>
      <c r="G2" s="327"/>
      <c r="H2" s="327"/>
      <c r="I2" s="327"/>
      <c r="J2" s="327"/>
      <c r="K2" s="327"/>
      <c r="L2" s="327"/>
      <c r="M2" s="328"/>
      <c r="N2" s="262"/>
      <c r="O2" s="262"/>
      <c r="P2" s="262"/>
    </row>
    <row r="3" spans="2:21" x14ac:dyDescent="0.35">
      <c r="B3"/>
    </row>
    <row r="4" spans="2:21" ht="16" customHeight="1" x14ac:dyDescent="0.35">
      <c r="B4" s="282" t="s">
        <v>1101</v>
      </c>
      <c r="C4" s="282" t="s">
        <v>1102</v>
      </c>
      <c r="F4" s="313" t="s">
        <v>1115</v>
      </c>
      <c r="G4" s="314">
        <f>SUM(Table4[[Ratings ]])/COUNT(Table4[[Ratings ]])</f>
        <v>3.5</v>
      </c>
      <c r="H4" s="312" t="str">
        <f>VLOOKUP(G4,M4:O8,2,1)</f>
        <v>Average</v>
      </c>
      <c r="J4" s="303" t="str">
        <f>VLOOKUP(G4,M4:P8,4,1)</f>
        <v>K</v>
      </c>
      <c r="L4" s="316"/>
      <c r="M4" s="308">
        <v>1</v>
      </c>
      <c r="N4" s="305" t="s">
        <v>1103</v>
      </c>
      <c r="O4" s="309">
        <v>0.1</v>
      </c>
      <c r="P4" s="310" t="s">
        <v>1108</v>
      </c>
      <c r="Q4" s="318">
        <f>VLOOKUP(G4,M4:O8,3,1)</f>
        <v>0.5</v>
      </c>
      <c r="R4" s="317"/>
      <c r="S4" s="316"/>
      <c r="T4" s="316"/>
      <c r="U4" s="316"/>
    </row>
    <row r="5" spans="2:21" x14ac:dyDescent="0.35">
      <c r="B5" s="282">
        <v>5</v>
      </c>
      <c r="C5" t="s">
        <v>1111</v>
      </c>
      <c r="L5" s="316"/>
      <c r="M5" s="308">
        <v>2</v>
      </c>
      <c r="N5" s="305" t="s">
        <v>1104</v>
      </c>
      <c r="O5" s="309">
        <f>O4+20%</f>
        <v>0.30000000000000004</v>
      </c>
      <c r="P5" s="310" t="s">
        <v>1108</v>
      </c>
      <c r="Q5" s="306">
        <v>0.01</v>
      </c>
      <c r="R5" s="316"/>
      <c r="S5" s="316"/>
      <c r="T5" s="316"/>
      <c r="U5" s="316"/>
    </row>
    <row r="6" spans="2:21" x14ac:dyDescent="0.35">
      <c r="B6" s="302">
        <v>5</v>
      </c>
      <c r="C6" t="s">
        <v>1112</v>
      </c>
      <c r="L6" s="316"/>
      <c r="M6" s="308">
        <v>3</v>
      </c>
      <c r="N6" s="305" t="s">
        <v>1105</v>
      </c>
      <c r="O6" s="309">
        <f t="shared" ref="O6:O8" si="0">O5+20%</f>
        <v>0.5</v>
      </c>
      <c r="P6" s="310" t="s">
        <v>1109</v>
      </c>
      <c r="Q6" s="307">
        <f>200%-SUM(Q4:Q5)</f>
        <v>1.49</v>
      </c>
      <c r="R6" s="316"/>
      <c r="S6" s="316"/>
      <c r="T6" s="316"/>
      <c r="U6" s="316"/>
    </row>
    <row r="7" spans="2:21" x14ac:dyDescent="0.35">
      <c r="B7" s="302">
        <v>4</v>
      </c>
      <c r="C7" t="s">
        <v>1113</v>
      </c>
      <c r="L7" s="316"/>
      <c r="M7" s="308">
        <v>4</v>
      </c>
      <c r="N7" s="305" t="s">
        <v>1106</v>
      </c>
      <c r="O7" s="309">
        <f t="shared" si="0"/>
        <v>0.7</v>
      </c>
      <c r="P7" s="310" t="s">
        <v>1110</v>
      </c>
      <c r="Q7" s="316"/>
      <c r="R7" s="316"/>
      <c r="S7" s="316"/>
      <c r="T7" s="316"/>
      <c r="U7" s="316"/>
    </row>
    <row r="8" spans="2:21" x14ac:dyDescent="0.35">
      <c r="B8" s="302">
        <v>0</v>
      </c>
      <c r="C8" t="s">
        <v>1114</v>
      </c>
      <c r="L8" s="316"/>
      <c r="M8" s="308">
        <v>5</v>
      </c>
      <c r="N8" s="305" t="s">
        <v>1107</v>
      </c>
      <c r="O8" s="309">
        <f t="shared" si="0"/>
        <v>0.89999999999999991</v>
      </c>
      <c r="P8" s="310" t="s">
        <v>1110</v>
      </c>
      <c r="Q8" s="305"/>
      <c r="R8" s="316"/>
      <c r="S8" s="316"/>
      <c r="T8" s="316"/>
      <c r="U8" s="316"/>
    </row>
    <row r="9" spans="2:21" x14ac:dyDescent="0.35">
      <c r="B9" s="311"/>
      <c r="L9" s="316"/>
      <c r="M9" s="316"/>
      <c r="N9" s="316"/>
      <c r="O9" s="316"/>
      <c r="P9" s="316"/>
      <c r="Q9" s="316"/>
      <c r="R9" s="316"/>
      <c r="S9" s="316"/>
      <c r="T9" s="316"/>
      <c r="U9" s="316"/>
    </row>
    <row r="10" spans="2:21" x14ac:dyDescent="0.35">
      <c r="L10" s="316"/>
      <c r="M10" s="315"/>
      <c r="N10" s="315"/>
      <c r="O10" s="315"/>
      <c r="P10" s="315"/>
      <c r="Q10" s="316"/>
      <c r="R10" s="316"/>
      <c r="S10" s="316"/>
      <c r="T10" s="316"/>
      <c r="U10" s="316"/>
    </row>
    <row r="11" spans="2:21" x14ac:dyDescent="0.35">
      <c r="L11" s="316"/>
      <c r="M11" s="316"/>
      <c r="N11" s="316"/>
      <c r="O11" s="316"/>
      <c r="P11" s="316"/>
      <c r="Q11" s="316"/>
      <c r="R11" s="316"/>
      <c r="S11" s="316"/>
      <c r="T11" s="316"/>
      <c r="U11" s="316"/>
    </row>
    <row r="12" spans="2:21" x14ac:dyDescent="0.35">
      <c r="L12" s="316"/>
      <c r="M12" s="316"/>
      <c r="N12" s="316"/>
      <c r="O12" s="316"/>
      <c r="P12" s="316"/>
      <c r="Q12" s="316"/>
      <c r="R12" s="316"/>
      <c r="S12" s="316"/>
      <c r="T12" s="316"/>
      <c r="U12" s="316"/>
    </row>
    <row r="13" spans="2:21" x14ac:dyDescent="0.35">
      <c r="L13" s="316"/>
      <c r="M13" s="316"/>
      <c r="N13" s="316"/>
      <c r="O13" s="316"/>
      <c r="P13" s="316"/>
      <c r="Q13" s="316"/>
      <c r="R13" s="316"/>
      <c r="S13" s="316"/>
      <c r="T13" s="316"/>
      <c r="U13" s="316"/>
    </row>
    <row r="14" spans="2:21" x14ac:dyDescent="0.35">
      <c r="L14" s="316"/>
      <c r="M14" s="316"/>
      <c r="N14" s="316"/>
      <c r="O14" s="316"/>
      <c r="P14" s="316"/>
      <c r="Q14" s="316"/>
      <c r="R14" s="316"/>
      <c r="S14" s="316"/>
      <c r="T14" s="316"/>
      <c r="U14" s="316"/>
    </row>
    <row r="15" spans="2:21" x14ac:dyDescent="0.35">
      <c r="L15" s="316"/>
      <c r="M15" s="316"/>
      <c r="N15" s="316"/>
      <c r="O15" s="316"/>
      <c r="P15" s="316"/>
      <c r="Q15" s="316"/>
      <c r="R15" s="316"/>
      <c r="S15" s="316"/>
      <c r="T15" s="316"/>
      <c r="U15" s="316"/>
    </row>
    <row r="16" spans="2:21" x14ac:dyDescent="0.35">
      <c r="L16" s="316"/>
      <c r="M16" s="316"/>
      <c r="N16" s="316"/>
      <c r="O16" s="316"/>
      <c r="P16" s="316"/>
      <c r="Q16" s="316"/>
      <c r="R16" s="316"/>
      <c r="S16" s="316"/>
      <c r="T16" s="316"/>
      <c r="U16" s="316"/>
    </row>
    <row r="17" spans="12:21" x14ac:dyDescent="0.35">
      <c r="L17" s="316"/>
      <c r="M17" s="316"/>
      <c r="N17" s="316"/>
      <c r="O17" s="316"/>
      <c r="P17" s="316"/>
      <c r="Q17" s="316"/>
      <c r="R17" s="316"/>
      <c r="S17" s="316"/>
      <c r="T17" s="316"/>
      <c r="U17" s="316"/>
    </row>
    <row r="21" spans="12:21" x14ac:dyDescent="0.35">
      <c r="M21" s="304"/>
    </row>
  </sheetData>
  <mergeCells count="1">
    <mergeCell ref="B2:M2"/>
  </mergeCells>
  <conditionalFormatting sqref="J4">
    <cfRule type="cellIs" dxfId="10" priority="7" operator="equal">
      <formula>"J"</formula>
    </cfRule>
    <cfRule type="cellIs" dxfId="9" priority="8" operator="equal">
      <formula>"K"</formula>
    </cfRule>
    <cfRule type="cellIs" dxfId="8" priority="9" operator="equal">
      <formula>"L"</formula>
    </cfRule>
  </conditionalFormatting>
  <conditionalFormatting sqref="H4">
    <cfRule type="cellIs" dxfId="7" priority="1" operator="equal">
      <formula>$N$4</formula>
    </cfRule>
    <cfRule type="cellIs" dxfId="6" priority="2" operator="equal">
      <formula>$N$5</formula>
    </cfRule>
    <cfRule type="cellIs" dxfId="5" priority="3" operator="equal">
      <formula>$N$8</formula>
    </cfRule>
    <cfRule type="cellIs" dxfId="4" priority="4" operator="equal">
      <formula>$N$7</formula>
    </cfRule>
    <cfRule type="cellIs" dxfId="3" priority="6" operator="equal">
      <formula>$N$6</formula>
    </cfRule>
  </conditionalFormatting>
  <dataValidations count="1">
    <dataValidation type="decimal" allowBlank="1" showInputMessage="1" showErrorMessage="1" sqref="B5:B9">
      <formula1>0</formula1>
      <formula2>5</formula2>
    </dataValidation>
  </dataValidations>
  <pageMargins left="0.7" right="0.7" top="0.75" bottom="0.75" header="0.3" footer="0.3"/>
  <drawing r:id="rId1"/>
  <legacy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10</vt:i4>
      </vt:variant>
    </vt:vector>
  </HeadingPairs>
  <TitlesOfParts>
    <vt:vector size="25" baseType="lpstr">
      <vt:lpstr>Project Info &amp; Documentation</vt:lpstr>
      <vt:lpstr>Store Investment</vt:lpstr>
      <vt:lpstr>Investment Data Table</vt:lpstr>
      <vt:lpstr>Investment Scenario</vt:lpstr>
      <vt:lpstr>Scenario Summary</vt:lpstr>
      <vt:lpstr>Product Cleanup</vt:lpstr>
      <vt:lpstr>Inventory Data</vt:lpstr>
      <vt:lpstr>Inventory Analysis</vt:lpstr>
      <vt:lpstr>Location Sales</vt:lpstr>
      <vt:lpstr>Payroll Budget</vt:lpstr>
      <vt:lpstr>Rewards Member Orders</vt:lpstr>
      <vt:lpstr>WIP</vt:lpstr>
      <vt:lpstr>Rewards Member Records</vt:lpstr>
      <vt:lpstr>Event Orders</vt:lpstr>
      <vt:lpstr>Customer Reviews</vt:lpstr>
      <vt:lpstr>NumUnitsSold</vt:lpstr>
      <vt:lpstr>PricePerProduct</vt:lpstr>
      <vt:lpstr>ProductListPrice</vt:lpstr>
      <vt:lpstr>ProductNames</vt:lpstr>
      <vt:lpstr>ProductPrice</vt:lpstr>
      <vt:lpstr>ProductRevenue</vt:lpstr>
      <vt:lpstr>ProductType</vt:lpstr>
      <vt:lpstr>ProductUnitsSold</vt:lpstr>
      <vt:lpstr>RevenuePerUnit</vt:lpstr>
      <vt:lpstr>WIPproducts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Shyam Parmar</dc:creator>
  <cp:lastModifiedBy>Shyam Parmar</cp:lastModifiedBy>
  <dcterms:created xsi:type="dcterms:W3CDTF">2021-04-20T17:08:28Z</dcterms:created>
  <dcterms:modified xsi:type="dcterms:W3CDTF">2021-06-12T22:40:59Z</dcterms:modified>
</cp:coreProperties>
</file>